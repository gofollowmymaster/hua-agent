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1680" windowHeight="6760"/>
  </bookViews>
  <sheets>
    <sheet name="招商答疑QA" sheetId="1" r:id="rId1"/>
    <sheet name="云舟VC历程" sheetId="2" r:id="rId2"/>
  </sheets>
  <definedNames>
    <definedName name="_xlnm._FilterDatabase" localSheetId="0" hidden="1">招商答疑QA!$A$1:$D$72</definedName>
    <definedName name="_xlnm._FilterDatabase">招商答疑QA!$A$1:$D$71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<sst xmlns="http://schemas.openxmlformats.org/spreadsheetml/2006/main" count="172" uniqueCount="172">
  <si>
    <t>问题类型</t>
  </si>
  <si>
    <t>问题描述</t>
  </si>
  <si>
    <t>相关回复</t>
  </si>
  <si>
    <t>备注</t>
  </si>
  <si>
    <t>业务模式</t>
  </si>
  <si>
    <t>你们公司做什么业务的？</t>
  </si>
  <si>
    <t xml:space="preserve">我们拥有美国本土VC账号，团队有8年的VC运营经验。从25年9月开始对外招商，邀请美国站的SC品牌卖家在我们的亚马逊 VC 账号上销售产品。让您成为亚马逊的供货商，拥有sold by amazon标识，为消费者提供高品质商品的同时，为您的品牌增强背书，进一步扩大市场份额。
对比SC模式，VC模式省去了平台佣金，一定比例的退货率，配送费等部分，BD免提报费，广告总体CPC更低，因此综合核算下来，对于部分产品，比如是体积／重量较大的大件产品，利润空间会更大。
</t>
  </si>
  <si>
    <t>公司背景</t>
  </si>
  <si>
    <t>你们公司什么背景？</t>
  </si>
  <si>
    <t>运营团队2018年开始做VC自营，2025年9月注册云舟企业开始搭建VC分销团队启动云舟项目，25年10月份系统上线之后，正式开始对外招商。目前在深圳设有招商团队办公室，与我们合作VC分销的话可直接与我们市场销售团队联系；重庆是研发和VC分销的运营支持部门，目前50多号人左右（销售15+运营30+IT 8长期支持），目前所有部门都在为业务扩张在持续补充人才。</t>
  </si>
  <si>
    <t>合作模式</t>
  </si>
  <si>
    <t>合作模式怎样的？</t>
  </si>
  <si>
    <t>若贵司有想要转入VC的链接，首先配合完善我司产品收集表；我司运营会根据产品类目、产品历史销售情况等综合测算平台采购价；若产品利润符合贵司预期，完成合同签订，正式签订后我司安排资深VC运营负责人，安排与指导整个VC项目的启动和推进。</t>
  </si>
  <si>
    <r>
      <rPr>
        <b/>
        <sz val="9"/>
        <color rgb="FF000000"/>
        <rFont val="宋体"/>
        <charset val="134"/>
      </rPr>
      <t>客户问能不能帮忙申请VC账号？</t>
    </r>
    <r>
      <rPr>
        <sz val="9"/>
        <color rgb="FF000000"/>
        <rFont val="宋体"/>
        <charset val="134"/>
      </rPr>
      <t xml:space="preserve">
</t>
    </r>
  </si>
  <si>
    <t>如果您的GMV业绩达到VC账号的要求，我们可以帮助您联系VM去下VC的账号</t>
  </si>
  <si>
    <t>基础操作</t>
  </si>
  <si>
    <t>SC链接怎么样转VC？</t>
  </si>
  <si>
    <t>跟卖SC原链接，利用DF/BTR激活VC销售，刺激亚马逊下PO，后续保持在VC稳定销售。</t>
  </si>
  <si>
    <r>
      <rPr>
        <b/>
        <sz val="9"/>
        <color rgb="FF000000"/>
        <rFont val="宋体"/>
        <charset val="134"/>
      </rPr>
      <t>你们有几个VC账号？</t>
    </r>
    <r>
      <rPr>
        <sz val="9"/>
        <color rgb="FF000000"/>
        <rFont val="宋体"/>
        <charset val="134"/>
      </rPr>
      <t xml:space="preserve">
</t>
    </r>
  </si>
  <si>
    <t xml:space="preserve">目前我们采取的是多账号布局分摊风险。我们目前一共有4个VC账号（含2套18年邀请制账号+2套备用账号），资源稳定且风险分散。每套账号都有高级VM经理，同时配备AVS服务，AVS年收费25万美金，可以帮助我们高效处理日常问题。
</t>
  </si>
  <si>
    <t>你们VC账号一共有多少SKU？</t>
  </si>
  <si>
    <t>450~550个
Home：350个
Outdoors：120个
其他：70个</t>
  </si>
  <si>
    <t xml:space="preserve">你们的VC账号怎么来的，哪一年下的账号，账号初始类目是什么？
</t>
  </si>
  <si>
    <r>
      <rPr>
        <sz val="9"/>
        <color rgb="FF000000"/>
        <rFont val="Calibri"/>
        <charset val="134"/>
      </rPr>
      <t>我们是18年的时候SC账号年GMV突破1千万美金，被邀请注册了VC账号。初始类目是：家居类、户外类、工具类、宠物用品类。</t>
    </r>
    <r>
      <rPr>
        <sz val="9"/>
        <color rgb="FF000000"/>
        <rFont val="宋体"/>
        <charset val="134"/>
      </rPr>
      <t xml:space="preserve">
</t>
    </r>
  </si>
  <si>
    <t>账号扣点情况？coop/mdf fa da</t>
  </si>
  <si>
    <t>您所说的属我司成本项，我无权限触及,是不方便透露的。</t>
  </si>
  <si>
    <t>你们这个采购价是依据什么评估的？</t>
  </si>
  <si>
    <t>根据产品所属品类，SC费用成本，前台销售历史数据，综合计算的；
大前提：保证AMZ有合理利润，产品才能在VC上正常运营</t>
  </si>
  <si>
    <t>你们对接这么多供应商，账号安全怎么保证？</t>
  </si>
  <si>
    <t xml:space="preserve">1.  每个新驻客户和产品都须经严格筛选，排除潜在风险。
2.  合同有相关的保密协议，不会泄露任何供应商信息。
3.  通过自主IT系统，隔离各供应商，保证数据安全。
4.  有专业VM团队，保证VC账号的安全。
5.  我司极重视账号安全，保障企业可持续发展。
6. 我们账号绩效达标且有VM，账号绩效核心指标：1、GMV 2、利润率 NET PPM 3、增长率 4、接单率/履约率（主要前三点）
</t>
  </si>
  <si>
    <r>
      <rPr>
        <b/>
        <sz val="9"/>
        <color rgb="FF000000"/>
        <rFont val="宋体"/>
        <charset val="134"/>
      </rPr>
      <t>你们账号有多大体量？</t>
    </r>
    <r>
      <rPr>
        <sz val="9"/>
        <color rgb="FF000000"/>
        <rFont val="宋体"/>
        <charset val="134"/>
      </rPr>
      <t xml:space="preserve">
</t>
    </r>
  </si>
  <si>
    <t>当前月采购额 大约 1200万美金</t>
  </si>
  <si>
    <t>资金安全问题？</t>
  </si>
  <si>
    <t xml:space="preserve">1.在前期的准入环节，我们对于客户的链接审核是非常严格，杜绝刷单等违规行为，这个也是为了保证账号的安全。
2.目前我们采取的是多账号布局分摊风险，我们目前一共有4个VC账号（含2套18年邀请制账号），资源稳定且风险分散。
3.我们最快能做到T+5的账号回款，只要客户在合作后能达到回款要求就能申请。
4.我们是背靠资方，更追求账号安全，也会走得更慢更谨慎。对于入驻的品牌数量也会有严格控制，一切都是为了合规。
</t>
  </si>
  <si>
    <t>合同主体为美国公司，有问题找谁？</t>
  </si>
  <si>
    <t>因VC账号为美国本土账号，贸易主体为美国公司，订单的下达、货款的结算等业务都是通过美国主体进行。如有问题，可直接通过企微或云舟ERP工单联系我方团队，重大争议统一在深圳仲裁院解决。</t>
  </si>
  <si>
    <t xml:space="preserve">账号如果出问题，你们是如何处理的？
</t>
  </si>
  <si>
    <t xml:space="preserve">（1）我们会快速明确责任，定位到具体的责任方供应商，与责任方沟通并启动索赔流程。
（2）对于合规无过错的供应商，我们也会将及时协商并出具书面赔偿方案，确保正常回款。
  请放心，我们背后的投资方为某A股上市公司，公司具备充足的资金与偿债能力，以客户优先，  声誉不止，生意不止。
</t>
  </si>
  <si>
    <t xml:space="preserve">合同条款对乙方约束较多，不太公平？
</t>
  </si>
  <si>
    <t xml:space="preserve">云舟的合同条款旨在平衡各方权益，保障所有合作伙伴的业务稳定与经营安全。所有约束均同等适用于各合作方，并不是单独针对某个供应商制定。如果您有具体的修改建议和意见，我们也会联动法务部门，进行合理评估，确保不存在法律风险、条款内容受法律保护后再与贵司完成签约盖章，并严格遵循条款约定开展业务。
</t>
  </si>
  <si>
    <t>VC账号有什么优势吗？/
SC利润和量都很可观的情况下，为什么要选择VC？</t>
  </si>
  <si>
    <r>
      <rPr>
        <b/>
        <sz val="9"/>
        <color rgb="FF000000"/>
        <rFont val="Calibri"/>
        <charset val="134"/>
      </rPr>
      <t>1</t>
    </r>
    <r>
      <rPr>
        <b/>
        <sz val="9"/>
        <color rgb="FF000000"/>
        <rFont val="宋体"/>
        <charset val="134"/>
      </rPr>
      <t>、流量优势：</t>
    </r>
    <r>
      <rPr>
        <sz val="9"/>
        <color rgb="FF000000"/>
        <rFont val="Calibri"/>
        <charset val="134"/>
      </rPr>
      <t xml:space="preserve">
a. </t>
    </r>
    <r>
      <rPr>
        <sz val="9"/>
        <color rgb="FF000000"/>
        <rFont val="宋体"/>
        <charset val="134"/>
      </rPr>
      <t>平台流量倾斜</t>
    </r>
    <r>
      <rPr>
        <sz val="9"/>
        <color rgb="FF000000"/>
        <rFont val="Calibri"/>
        <charset val="134"/>
      </rPr>
      <t>: VC</t>
    </r>
    <r>
      <rPr>
        <sz val="9"/>
        <color rgb="FF000000"/>
        <rFont val="宋体"/>
        <charset val="134"/>
      </rPr>
      <t>销售的</t>
    </r>
    <r>
      <rPr>
        <sz val="9"/>
        <color rgb="FF000000"/>
        <rFont val="Calibri"/>
        <charset val="134"/>
      </rPr>
      <t>listing</t>
    </r>
    <r>
      <rPr>
        <sz val="9"/>
        <color rgb="FF000000"/>
        <rFont val="宋体"/>
        <charset val="134"/>
      </rPr>
      <t>带有</t>
    </r>
    <r>
      <rPr>
        <sz val="9"/>
        <color rgb="FF000000"/>
        <rFont val="Calibri"/>
        <charset val="134"/>
      </rPr>
      <t xml:space="preserve"> “Sold by Amazon” </t>
    </r>
    <r>
      <rPr>
        <sz val="9"/>
        <color rgb="FF000000"/>
        <rFont val="宋体"/>
        <charset val="134"/>
      </rPr>
      <t>标识，可增强消费者信任，且获得与</t>
    </r>
    <r>
      <rPr>
        <sz val="9"/>
        <color rgb="FF000000"/>
        <rFont val="Calibri"/>
        <charset val="134"/>
      </rPr>
      <t>AMZ</t>
    </r>
    <r>
      <rPr>
        <sz val="9"/>
        <color rgb="FF000000"/>
        <rFont val="宋体"/>
        <charset val="134"/>
      </rPr>
      <t>自营（指的是amazon basic）相同的流量支持，在搜索结果中优先展示。</t>
    </r>
    <r>
      <rPr>
        <sz val="9"/>
        <color rgb="FF000000"/>
        <rFont val="Calibri"/>
        <charset val="134"/>
      </rPr>
      <t xml:space="preserve">
b. </t>
    </r>
    <r>
      <rPr>
        <sz val="9"/>
        <color rgb="FF000000"/>
        <rFont val="宋体"/>
        <charset val="134"/>
      </rPr>
      <t>关联流量丰富：</t>
    </r>
    <r>
      <rPr>
        <sz val="9"/>
        <color rgb="FF000000"/>
        <rFont val="Calibri"/>
        <charset val="134"/>
      </rPr>
      <t>VC</t>
    </r>
    <r>
      <rPr>
        <sz val="9"/>
        <color rgb="FF000000"/>
        <rFont val="宋体"/>
        <charset val="134"/>
      </rPr>
      <t>拥有强大的关联流量，一定程度可强制关联自家产品，形成流量闭环，避免流量流入竞品店铺，从而增加产品的曝光。</t>
    </r>
    <r>
      <rPr>
        <sz val="9"/>
        <color rgb="FF000000"/>
        <rFont val="Calibri"/>
        <charset val="134"/>
      </rPr>
      <t xml:space="preserve">
c. </t>
    </r>
    <r>
      <rPr>
        <sz val="9"/>
        <color rgb="FF000000"/>
        <rFont val="宋体"/>
        <charset val="134"/>
      </rPr>
      <t>活动优势：</t>
    </r>
    <r>
      <rPr>
        <sz val="9"/>
        <color rgb="FF000000"/>
        <rFont val="Calibri"/>
        <charset val="134"/>
      </rPr>
      <t xml:space="preserve">
i.</t>
    </r>
    <r>
      <rPr>
        <sz val="9"/>
        <color rgb="FF000000"/>
        <rFont val="宋体"/>
        <charset val="134"/>
      </rPr>
      <t>免提报费参加</t>
    </r>
    <r>
      <rPr>
        <sz val="9"/>
        <color rgb="FF000000"/>
        <rFont val="Calibri"/>
        <charset val="134"/>
      </rPr>
      <t>VC BD</t>
    </r>
    <r>
      <rPr>
        <sz val="9"/>
        <color rgb="FF000000"/>
        <rFont val="宋体"/>
        <charset val="134"/>
      </rPr>
      <t>活动</t>
    </r>
    <r>
      <rPr>
        <sz val="9"/>
        <color rgb="FF000000"/>
        <rFont val="Calibri"/>
        <charset val="134"/>
      </rPr>
      <t xml:space="preserve"> (SC</t>
    </r>
    <r>
      <rPr>
        <sz val="9"/>
        <color rgb="FF000000"/>
        <rFont val="宋体"/>
        <charset val="134"/>
      </rPr>
      <t>需要报名费</t>
    </r>
    <r>
      <rPr>
        <sz val="9"/>
        <color rgb="FF000000"/>
        <rFont val="Calibri"/>
        <charset val="134"/>
      </rPr>
      <t>)
ii.</t>
    </r>
    <r>
      <rPr>
        <sz val="9"/>
        <color rgb="FF000000"/>
        <rFont val="宋体"/>
        <charset val="134"/>
      </rPr>
      <t>最长一次可持续</t>
    </r>
    <r>
      <rPr>
        <sz val="9"/>
        <color rgb="FF000000"/>
        <rFont val="Calibri"/>
        <charset val="134"/>
      </rPr>
      <t>30</t>
    </r>
    <r>
      <rPr>
        <sz val="9"/>
        <color rgb="FF000000"/>
        <rFont val="宋体"/>
        <charset val="134"/>
      </rPr>
      <t>天</t>
    </r>
    <r>
      <rPr>
        <sz val="9"/>
        <color rgb="FF000000"/>
        <rFont val="Calibri"/>
        <charset val="134"/>
      </rPr>
      <t xml:space="preserve"> (SC</t>
    </r>
    <r>
      <rPr>
        <sz val="9"/>
        <color rgb="FF000000"/>
        <rFont val="宋体"/>
        <charset val="134"/>
      </rPr>
      <t>最长</t>
    </r>
    <r>
      <rPr>
        <sz val="9"/>
        <color rgb="FF000000"/>
        <rFont val="Calibri"/>
        <charset val="134"/>
      </rPr>
      <t>14</t>
    </r>
    <r>
      <rPr>
        <sz val="9"/>
        <color rgb="FF000000"/>
        <rFont val="宋体"/>
        <charset val="134"/>
      </rPr>
      <t>天</t>
    </r>
    <r>
      <rPr>
        <sz val="9"/>
        <color rgb="FF000000"/>
        <rFont val="Calibri"/>
        <charset val="134"/>
      </rPr>
      <t>)
iii.</t>
    </r>
    <r>
      <rPr>
        <sz val="9"/>
        <color rgb="FF000000"/>
        <rFont val="宋体"/>
        <charset val="134"/>
      </rPr>
      <t>最低折扣仅</t>
    </r>
    <r>
      <rPr>
        <sz val="9"/>
        <color rgb="FF000000"/>
        <rFont val="Calibri"/>
        <charset val="134"/>
      </rPr>
      <t>10%off (SC</t>
    </r>
    <r>
      <rPr>
        <sz val="9"/>
        <color rgb="FF000000"/>
        <rFont val="宋体"/>
        <charset val="134"/>
      </rPr>
      <t>最低</t>
    </r>
    <r>
      <rPr>
        <sz val="9"/>
        <color rgb="FF000000"/>
        <rFont val="Calibri"/>
        <charset val="134"/>
      </rPr>
      <t>15%off)
iv.</t>
    </r>
    <r>
      <rPr>
        <sz val="9"/>
        <color rgb="FF000000"/>
        <rFont val="宋体"/>
        <charset val="134"/>
      </rPr>
      <t>间隔</t>
    </r>
    <r>
      <rPr>
        <sz val="9"/>
        <color rgb="FF000000"/>
        <rFont val="Calibri"/>
        <charset val="134"/>
      </rPr>
      <t>3</t>
    </r>
    <r>
      <rPr>
        <sz val="9"/>
        <color rgb="FF000000"/>
        <rFont val="宋体"/>
        <charset val="134"/>
      </rPr>
      <t>天继续跑下次</t>
    </r>
    <r>
      <rPr>
        <sz val="9"/>
        <color rgb="FF000000"/>
        <rFont val="Calibri"/>
        <charset val="134"/>
      </rPr>
      <t xml:space="preserve">BD
d. </t>
    </r>
    <r>
      <rPr>
        <sz val="9"/>
        <color rgb="FF000000"/>
        <rFont val="宋体"/>
        <charset val="134"/>
      </rPr>
      <t>广告</t>
    </r>
    <r>
      <rPr>
        <sz val="9"/>
        <color rgb="FF000000"/>
        <rFont val="Calibri"/>
        <charset val="134"/>
      </rPr>
      <t>CPC</t>
    </r>
    <r>
      <rPr>
        <sz val="9"/>
        <color rgb="FF000000"/>
        <rFont val="宋体"/>
        <charset val="134"/>
      </rPr>
      <t>竞价相对更低</t>
    </r>
    <r>
      <rPr>
        <b/>
        <sz val="9"/>
        <color rgb="FF000000"/>
        <rFont val="Calibri"/>
        <charset val="134"/>
      </rPr>
      <t xml:space="preserve">
2</t>
    </r>
    <r>
      <rPr>
        <b/>
        <sz val="9"/>
        <color rgb="FF000000"/>
        <rFont val="宋体"/>
        <charset val="134"/>
      </rPr>
      <t>、成本优势</t>
    </r>
    <r>
      <rPr>
        <sz val="9"/>
        <color rgb="FF000000"/>
        <rFont val="Calibri"/>
        <charset val="134"/>
      </rPr>
      <t xml:space="preserve">
a. </t>
    </r>
    <r>
      <rPr>
        <sz val="9"/>
        <color rgb="FF000000"/>
        <rFont val="宋体"/>
        <charset val="134"/>
      </rPr>
      <t>无需支付尾程配送费，</t>
    </r>
    <r>
      <rPr>
        <sz val="9"/>
        <color rgb="FF000000"/>
        <rFont val="Calibri"/>
        <charset val="134"/>
      </rPr>
      <t xml:space="preserve"> AMZ</t>
    </r>
    <r>
      <rPr>
        <sz val="9"/>
        <color rgb="FF000000"/>
        <rFont val="宋体"/>
        <charset val="134"/>
      </rPr>
      <t>承担</t>
    </r>
    <r>
      <rPr>
        <sz val="9"/>
        <color rgb="FF000000"/>
        <rFont val="Calibri"/>
        <charset val="134"/>
      </rPr>
      <t xml:space="preserve">
b. </t>
    </r>
    <r>
      <rPr>
        <sz val="9"/>
        <color rgb="FF000000"/>
        <rFont val="宋体"/>
        <charset val="134"/>
      </rPr>
      <t>无需支付</t>
    </r>
    <r>
      <rPr>
        <sz val="9"/>
        <color rgb="FF000000"/>
        <rFont val="Calibri"/>
        <charset val="134"/>
      </rPr>
      <t>FBA</t>
    </r>
    <r>
      <rPr>
        <sz val="9"/>
        <color rgb="FF000000"/>
        <rFont val="宋体"/>
        <charset val="134"/>
      </rPr>
      <t>仓储费，</t>
    </r>
    <r>
      <rPr>
        <sz val="9"/>
        <color rgb="FF000000"/>
        <rFont val="Calibri"/>
        <charset val="134"/>
      </rPr>
      <t>AMZ</t>
    </r>
    <r>
      <rPr>
        <sz val="9"/>
        <color rgb="FF000000"/>
        <rFont val="宋体"/>
        <charset val="134"/>
      </rPr>
      <t>承担</t>
    </r>
    <r>
      <rPr>
        <sz val="9"/>
        <color rgb="FF000000"/>
        <rFont val="Calibri"/>
        <charset val="134"/>
      </rPr>
      <t xml:space="preserve">
c. VC</t>
    </r>
    <r>
      <rPr>
        <sz val="9"/>
        <color rgb="FF000000"/>
        <rFont val="宋体"/>
        <charset val="134"/>
      </rPr>
      <t>模式，无需支付平台佣金</t>
    </r>
    <r>
      <rPr>
        <sz val="9"/>
        <color rgb="FF000000"/>
        <rFont val="Calibri"/>
        <charset val="134"/>
      </rPr>
      <t>/</t>
    </r>
    <r>
      <rPr>
        <sz val="9"/>
        <color rgb="FF000000"/>
        <rFont val="宋体"/>
        <charset val="134"/>
      </rPr>
      <t>月费</t>
    </r>
    <r>
      <rPr>
        <sz val="9"/>
        <color rgb="FF000000"/>
        <rFont val="Calibri"/>
        <charset val="134"/>
      </rPr>
      <t xml:space="preserve">
d. </t>
    </r>
    <r>
      <rPr>
        <sz val="9"/>
        <color rgb="FF000000"/>
        <rFont val="宋体"/>
        <charset val="134"/>
      </rPr>
      <t>无需担心退货、运损，</t>
    </r>
    <r>
      <rPr>
        <sz val="9"/>
        <color rgb="FF000000"/>
        <rFont val="Calibri"/>
        <charset val="134"/>
      </rPr>
      <t>AMZ</t>
    </r>
    <r>
      <rPr>
        <sz val="9"/>
        <color rgb="FF000000"/>
        <rFont val="宋体"/>
        <charset val="134"/>
      </rPr>
      <t>承担</t>
    </r>
    <r>
      <rPr>
        <b/>
        <sz val="9"/>
        <color rgb="FF000000"/>
        <rFont val="Calibri"/>
        <charset val="134"/>
      </rPr>
      <t xml:space="preserve">
3</t>
    </r>
    <r>
      <rPr>
        <b/>
        <sz val="9"/>
        <color rgb="FF000000"/>
        <rFont val="宋体"/>
        <charset val="134"/>
      </rPr>
      <t>、回款优势</t>
    </r>
    <r>
      <rPr>
        <sz val="9"/>
        <color rgb="FF000000"/>
        <rFont val="Calibri"/>
        <charset val="134"/>
      </rPr>
      <t xml:space="preserve">
a. AMZ</t>
    </r>
    <r>
      <rPr>
        <sz val="9"/>
        <color rgb="FF000000"/>
        <rFont val="宋体"/>
        <charset val="134"/>
      </rPr>
      <t>官方批发，</t>
    </r>
    <r>
      <rPr>
        <sz val="9"/>
        <color rgb="FF000000"/>
        <rFont val="Calibri"/>
        <charset val="134"/>
      </rPr>
      <t xml:space="preserve">30 </t>
    </r>
    <r>
      <rPr>
        <sz val="9"/>
        <color rgb="FF000000"/>
        <rFont val="宋体"/>
        <charset val="134"/>
      </rPr>
      <t>天后（按所选账期）集中回款，无预留风险：</t>
    </r>
    <r>
      <rPr>
        <sz val="9"/>
        <color rgb="FF000000"/>
        <rFont val="Calibri"/>
        <charset val="134"/>
      </rPr>
      <t>VC</t>
    </r>
    <r>
      <rPr>
        <sz val="9"/>
        <color rgb="FF000000"/>
        <rFont val="宋体"/>
        <charset val="134"/>
      </rPr>
      <t>模式下，一旦亚马逊收货并开具发票，这笔应收账款就确定了。只要产品质量和单据没问题，到期就能收到全款，不存在</t>
    </r>
    <r>
      <rPr>
        <sz val="9"/>
        <color rgb="FF000000"/>
        <rFont val="Calibri"/>
        <charset val="134"/>
      </rPr>
      <t>SC</t>
    </r>
    <r>
      <rPr>
        <sz val="9"/>
        <color rgb="FF000000"/>
        <rFont val="宋体"/>
        <charset val="134"/>
      </rPr>
      <t>模式下因客户退货或投诉而导致款项被扣的风险；</t>
    </r>
    <r>
      <rPr>
        <sz val="9"/>
        <color rgb="FF000000"/>
        <rFont val="Calibri"/>
        <charset val="134"/>
      </rPr>
      <t xml:space="preserve">
b. </t>
    </r>
    <r>
      <rPr>
        <sz val="9"/>
        <color rgb="FF000000"/>
        <rFont val="宋体"/>
        <charset val="134"/>
      </rPr>
      <t>现金流可预测性：对于大企业来说，可预测的现金流比看似更短但不确定的现金流更有价值。</t>
    </r>
  </si>
  <si>
    <r>
      <rPr>
        <b/>
        <sz val="9"/>
        <color rgb="FF000000"/>
        <rFont val="宋体"/>
        <charset val="134"/>
      </rPr>
      <t>Best Deal 费用是如何收取的？</t>
    </r>
    <r>
      <rPr>
        <sz val="9"/>
        <color rgb="FF000000"/>
        <rFont val="宋体"/>
        <charset val="134"/>
      </rPr>
      <t xml:space="preserve">
</t>
    </r>
  </si>
  <si>
    <t xml:space="preserve">BD费用只有折扣花费，无提报手续费。BD最低折扣要求是10%，像Prime day、黑五网一这些大促节点，最低的要求是15%。
BD的折扣花费=BD促销期间的销量*单个产品Funding
单个产品 Funding=reference price*折扣%+Additonal funding（这个无法预测具体是多少)
Reference price 是AMZ拉取过去 90天的中位数价格，无法预测具体是取哪个值
系统提交BD时，可能会收取Additional funding。
Additonal Funding的收取取决于亚马逊对这个产品的销售表现和利润率表现自动计算，无法干预。
Funding的含义简单理解就是，前台售价100美金，折扣10%，折扣价格90美金，这里面的10美金差价是需要卖家自己承担的。
</t>
  </si>
  <si>
    <t>VC-PO模式下，AMZ仓储费用谁负责？</t>
  </si>
  <si>
    <t>当AMZ FC(仓库）完成了产品的签收入库，产品的仓储费及部分退换货成本由AMZ承担。</t>
  </si>
  <si>
    <t>产品转到VC利润会更高吗？</t>
  </si>
  <si>
    <t xml:space="preserve">VC产品利润=平台采购价 - (货值 + 头程费用 + 海外仓费用 )- 推广费 - 平台服务费 - VC罚款（潜在成本）
SC产品利润=销售收入 -（货值 + 头程费用 +海外仓费用）- 推广费 - （平台佣金 + FBA费 + FBA仓储费 + 退换货成本）
VC相比SC，无FBA运费、FBA仓储费、退换货成本和平台佣金。整体收益高于SC。
</t>
  </si>
  <si>
    <t>竞品做VC，MSRP低于市场均价，背后的原因?</t>
  </si>
  <si>
    <t>①目标是关键词（红海）首页SEO，前期亏损到预估值（亏损2-3月的利润，追求销售单量）；
②产品矩阵，专有低价产品做类目品牌护城河；
③其他服务商有更高的采购价折扣，预留给供应商的利润更多（实际是在薅亚马逊的羊毛，不长久）</t>
  </si>
  <si>
    <t>跟woot的区别是什么</t>
  </si>
  <si>
    <t xml:space="preserve">AMZ Woot是官方合规秒杀，在AMZ页面上也有BD标志（跟AMZ站内BD是一样的）；另有机会出现在Woot官网上，借助Woot平台的流量加大了曝光。
区别是：a. AMZ Woot BD的采购折扣一般在3-5折之间，折扣费用极低。 （客单价低于20美金，动销一万左右，通常给到4折左右；20多美金，通常给到5-6折；客单价高于30美金，月销大于3万美金，能给到6-7折） 
b. 卖家自己去设置广告组，提交给Woot官方，广告费是自己控制的，自己有一个预算；卖家反馈woot广告数据有1小时的延迟；
c. Woot BD有提报费用，最便宜199美金，或者还可以免费。
</t>
  </si>
  <si>
    <t>海外仓贴标是什么要求？</t>
  </si>
  <si>
    <t xml:space="preserve">1. 所有发往VC仓库的货，产品彩盒上都必须贴合规的UPC或EAN条码。如果做过透明计划，还需要贴T-code标。
2. 快递出货：要求外箱上贴箱唛(Carton Label)和运标(Shipping Label)
3. 卡派出货：要求外箱上贴箱唛(Carton Label)，托盘上贴托盘标签(Pallet Label)
详细要求都会培训，请不要提前焦虑
</t>
  </si>
  <si>
    <t>AMZ是如何下单的？下单逻辑</t>
  </si>
  <si>
    <r>
      <rPr>
        <sz val="9"/>
        <color rgb="FF000000"/>
        <rFont val="宋体"/>
        <charset val="134"/>
        <scheme val="minor"/>
      </rPr>
      <t>1.启动VC时，建议将SC库存控制在4周左右，并且海外仓有最少一个月的库存。逻辑解释如下：更精准的把控VC购物车获得率和稳定性，同时确保SC清货压力可控
① PO来单~发货：约1周
② PO发货~亚马逊收货上架：约2周，同时这期间还会继续来单
③ 上架~动销~持续来单：每周持续会来单，每次采购1-2周的量、持续滚动稳定VC在库+VC在途库存6~8周，动销开始到亚马逊正式更正预测销量数据大约需要1-2周的时间
④ 来单减少或频次降低：</t>
    </r>
    <r>
      <rPr>
        <sz val="9"/>
        <color rgb="FFFF0000"/>
        <rFont val="宋体"/>
        <charset val="134"/>
        <scheme val="minor"/>
      </rPr>
      <t>VC在库+在途库存水平8-10周左右</t>
    </r>
    <r>
      <rPr>
        <sz val="9"/>
        <color rgb="FF000000"/>
        <rFont val="宋体"/>
        <charset val="134"/>
        <scheme val="minor"/>
      </rPr>
      <t xml:space="preserve">，饱和且稳定，亚马逊就会降低采购频次，或者频次不变、但每次采购量有所减少
2.VC接单后，动态维持海外仓库存6-8周，以稳定VC销售并避免断货。原因参考：
① 亚马逊通常在首单来单后持续下单，直到VC库存水平达到8周左右，需确保海外仓实际库存能够随时满足这一需求
② 亚马逊会在旺季来临前2个月左右开始加大PO的采购数量或者提前通知亚马逊最晚下单和入仓时间，提前备足库存能够更高地应对市场突发的增长情况
</t>
    </r>
  </si>
  <si>
    <t>一般PO单下过去多久能上架</t>
  </si>
  <si>
    <t>AMZ PO订单集中在周一下达，要求供应商最晚在当周周五完成订单交付；
1. 如果走快递模式，最快可以3~4个工作日到达；如果遇上旺季，AMZ运力有限，运输时间也会长一些
2. 如果走卡派模式，快一点5个工作日，慢一点8~10个工作日不等</t>
  </si>
  <si>
    <t>备货要怎么备？</t>
  </si>
  <si>
    <t>建议首次备货，按照SC的日均销量至少往海外仓备一个半月的货，原因是：
PO订单会一次性下达未来4-8周的销量，首次备货至少需要保证海外仓有一个月的可用库存，同时预留半个月的备用库存以承接可能产生的更多的订单。
备货频次：建议每周循环滚动备货，因为亚马逊每周都会下达PO订单。</t>
  </si>
  <si>
    <t>你们为什么不做DI</t>
  </si>
  <si>
    <t>目前业务主要聚焦在海外仓交货，DI业务对产品和供应商的要求会更高，这个在后期的业务规划内</t>
  </si>
  <si>
    <t>VC的广告跟SC有什么区别吗</t>
  </si>
  <si>
    <t>SC能打的广告VC都能打，VC的CPC相对会比SC的要低一些</t>
  </si>
  <si>
    <t>广告怎么打</t>
  </si>
  <si>
    <t>AMS广告，在云舟系统里面操作，先预充值一定的广告费，后面可以用货款抵扣广告费。</t>
  </si>
  <si>
    <t>你们系统广告数据是实时的吗？</t>
  </si>
  <si>
    <t>是实时同步的，数据量的情况下，可能会有十分钟的延迟</t>
  </si>
  <si>
    <t>转了vc之后，链接的编辑权所有权的在哪边</t>
  </si>
  <si>
    <t>VC享有有限编辑权，一般编辑权还能留在SC。
绝大多数Listing的所有权归属于创建该Listing的卖家，如果SC和VC共存，也没法绝对说所有权是SC还是VC，更准确的说法是“编辑权和控制权的竞争</t>
  </si>
  <si>
    <t>后面不做vc了，链接的权重问题，评论是留在vc吗还是sc</t>
  </si>
  <si>
    <t>所有的评论都是留在该Listing上，不分SC和VC</t>
  </si>
  <si>
    <t>转到vc之后能刷单吗，对你们账号有什么影响？</t>
  </si>
  <si>
    <t>不能刷单，VC模式下必须全合规运营，刷单是禁止的行为，请勿操作，若操作刷单导致我司账号受到影响需要承担相应法律责任</t>
  </si>
  <si>
    <t>vc能做vine吗 费用怎么算</t>
  </si>
  <si>
    <t>VC可以做Vine，注册费用1750美金，比SC贵。建议直接在SC申请Vine，只需要花费200$。</t>
  </si>
  <si>
    <t>AMZVine是一项买家评论计划，旨在帮助卖家快速获得高质量评论。加入该计划的成员被称为Amazon Vine评论者（也称为VineVoice），他们负责免费使用AMZ卖家提供的产品，并为这些商品发表真实的买家评论。这些评论可以帮助其他消费者做出明智的购买决定，从而提高产品的销售量和排名。                       卖家条件：
1AMZ的专业卖家
2已经在AMZ品牌注册中注册品牌
3是认定的品牌所有者
4拥有符合条件的AMZ物流商品
商品条件：
1商品详情页上的评论少于30条；
2状态为“新品”的FBA商品，且有可用的FBA库存；
3在注册计划之前已发布，且有标题、描述及图片；
4非成人产品。</t>
  </si>
  <si>
    <t>来了PO后，必须在多久之内完成接单？</t>
  </si>
  <si>
    <t>24h内</t>
  </si>
  <si>
    <t>接了po之后，多久要把货发出去</t>
  </si>
  <si>
    <t>在AMZ要求的最晚发货时间之前，一般的PO订单都是周一下单，要求最晚周五发走</t>
  </si>
  <si>
    <t>有哪些地方会产生罚款的</t>
  </si>
  <si>
    <t>延迟发货、未做包装认证、发货短缺等等，这些部分，我们在合作前运营同学都会培训，以避免这些罚款的</t>
  </si>
  <si>
    <t>贴标怎么贴，在国内贴还是海外仓贴</t>
  </si>
  <si>
    <t>1. 产品彩盒上的产品标签(UPC标签)，建议国内贴好，成本最低
2. AMZ订单出库，要求的箱唛（carton label）和运标（shipping label）都要求在海外仓进行</t>
  </si>
  <si>
    <t>如果说我这次提报了15%的BD   下次提报10%的BD  那第二次的BD还会有BD标嘛？两次BD间隔不足30天，不会有BD标的哈，BD标需要满足过去三十天的历史最低价才行</t>
  </si>
  <si>
    <t>不会有标，BD活动要是最近30天的最低价，才能保证BD活动是正常跑出的</t>
  </si>
  <si>
    <t>BD跟优惠券可以同时做吗？</t>
  </si>
  <si>
    <t>虽然可以，但不建议，因为会影响价格曲线，比如BD叠加Coupon，则下次BD会是这次BD+Coupon叠加后的到手价，既影响后续的BD正常售价和徽标</t>
  </si>
  <si>
    <t>VC可以赶跟卖吗？</t>
  </si>
  <si>
    <t>一定程度上可以赶跟卖。但和SC一样，需要我方注册Brand registry，且跟卖链接没有注册Brand registry的情况下可以举报（原因：跟卖本身在Amazon就是合规的），但是想要大概率预防跟卖，可以考虑加入Amazon的透明计划(Transparency)</t>
  </si>
  <si>
    <t>你们为什么要压30%尾款</t>
  </si>
  <si>
    <t>因为运营过程中需要进行必要的促销活动(coupon、BD等)而产生费用后，进行扣除</t>
  </si>
  <si>
    <t>你们BTR额度有多少？</t>
  </si>
  <si>
    <t>当下是都能满足我们合作客户需求的，如有需求则跟我们运营同事提前规划安排即可</t>
  </si>
  <si>
    <t>BD funding 过高</t>
  </si>
  <si>
    <t>正常情况下Amazon的funding是MSRP和折扣价之间的差价，是供应商自己提报的BD折扣影响的，过高一般指的是高于这个差价，Amazon额外收取的Additional funding，这种情况是因为Amazon利润不足导致的。需要加快动销或者调低采购价。</t>
  </si>
  <si>
    <t>怎么结算，回款账期？</t>
  </si>
  <si>
    <t>1、支付协议：Payment Term：
a.回款账期以及对应账期客户应付的平台服务费比例如下：T+5:3%；T+15:2.5%；T+30:2%；T+60:1%；T+90:0%
b.开放客户评级，根据评级等级调整尾款回款账期及服务费率，且尾款结算不与销量挂钩。A级：T+30；B级：T+60；C级：T+90；D级：T+120（通常为默认账期和默认的平台服务费，评级是为了增加拿下优质客户的可能性，由商务在和客户谈合作时灵活提出的）
2、CloudBoat出具账单时间：
a.支付协议选择T+5，一月分六次出具账单：每月4号、9号、14号、19号、24号、29号；
b.支付协议选择T+15，一月分四次出具账单：每月3号、10号、17号、24号；
c.支付协议选择T+30，一月分两次出具账单：每月10号、25号；
d.支付协议选择T+60，T90，一月出具一次账单，每月10号。
3、客户核对确认账单
a.核对账单时间：账单出具后5天内完成核对并上传回执，如果未在5天内确认，则默认核对无误，我们也会按照计划付款日进行支付。
4、CloudBoat付款：
a.付款模式：货款支付分首/尾款，首款针对采购订单发货数量，尾款针对实际销售数量，具体支付比例根据合同签署确定，通常首款70%、尾款30%
b.付款金额：具体金额以账单为准
c.付款时间：我司每周四进行统一财务结算，理论付款时间如果在周四之前，则实际付款时间为本周四；理论付款时间如果在周四之后，则实际付款时间顺延至下周周四</t>
  </si>
  <si>
    <t>转VC的产品怎么定价？</t>
  </si>
  <si>
    <t>1、老品定价：
a.VC售价=SC售价：产品销售、市场位置稳定，且价格具备一定竞争力，转VC不会出现亏损；
b.VC售价&gt;SC售价：涨价范围不超过10%，不宜涨价力度太大；大幅超过市场同类同产品力的产品，AMZ也可能不接受此类定价导致实际运营中出现各类抑制(DF Offer抑制、Coupon抑制、BD抑制、广告抑制、PO订单抑制，即不来单)
c.VC售价＜SC售价：降价，降价后的产品在市场上的价格竞争力更强，同时需要衡量产品转VC的利润率
2、新品定价：
a.定价逻辑：根据产品力、推广策略（BD力度&amp;频率、日常Coupon力度/Coupon销售占比、广告投入）、市场定位等因素，综合制定一个能够在原价销售和常规BD力度（10%-15%）均有市场竞争力的MSRP定价。</t>
  </si>
  <si>
    <t>转VC的产品价格上(售价)有哪些注意点？</t>
  </si>
  <si>
    <t>1、定价权区别：
a.SC：SC运营有产品的绝对定价权，可以结合产品策略、市场情况、竞对动态变化，灵活进行SC售价的调整；
b.VC：VC有产品的建议售价权(MSRP=供应商建议零售价)，因为采购与供货的关系，AMZ对于产品有最终决定权；
i.提高MSRP：提高MSRP，CloudBoat采购价也需要同等提高；VC后台没有直接提价的权限，需要VM团队介入处理；（就算介入处理，也是几乎不可能提高的，所以可以理解为采购价只有降低，没有升的）
ii.降低MSRP：降低MSRP，CloudBoat采购价也需要同等降低；VC可以直接进行降价操作，但需要注意的是如果AMZ仓库有库存，降价会触发AMZ的价格保护机制
2、SC、站外价格控制：AMZ的低价匹配机制
a.需保证SC offer售价≥VC售价，防止AMZ进行低价匹配
b.站外的链接做好差异化</t>
  </si>
  <si>
    <t>什么是AMZ的价格保护机制？</t>
  </si>
  <si>
    <t xml:space="preserve">调价之后亚马逊收取价格保护费用主要分为两部分：
1.海外仓提货后到亚马逊仓库中途发生了调价，亚马逊会收取在途数量的价格索赔（差价扣款+索赔费）；
2.商品售卖的过程中发生调价，导致亚马逊对应商品的剩余库存的金额都会降低，也会就VC在仓库存数量收取价格保护费用。
此外在调价之后新下的PO订单就是按照调价后的价格正常采购了。
</t>
  </si>
  <si>
    <t>什么是AMZ的价格匹配？</t>
  </si>
  <si>
    <t>AMZ的【匹配最低价】功能可以帮助卖家快速、轻松地为所售商品匹配目前AMZ商城上的最低价格
1.匹配SC低价：SC的offer(FBA/FBM)存在比VC低的价格，则大概率会出现VC低价匹配，导致VC MSRP浮动
2.匹配站外低价：一般像Ebay、沃尔玛、品牌官网、Newegg等站外平台，一般抓取的逻辑是：高度相似的主图、品牌、title等</t>
  </si>
  <si>
    <t>来PO了，但是海外仓没货了怎么办？</t>
  </si>
  <si>
    <t>能接多少接多少，不要接了100件，实际只能发50件，这样会有罚款的。</t>
  </si>
  <si>
    <t>客户购买的R标有效吗？</t>
  </si>
  <si>
    <t>有效，只要购买的R标会进行合法转让，然后在R标官方网站的持有人也会进行相应的授权和转让，届时R标官网更新当前的客户和其品牌下售卖的产品后，再在Amazon创新链接来卖</t>
  </si>
  <si>
    <t>云舟账号是否会被你们操作？</t>
  </si>
  <si>
    <t>我们的运营管理层会对账号的安全、数据等进行密切监控，普通运营日常也是通过系统管理VC各项业务。对于合作客户的产品和相关数据，云舟的运营在收到您发起的工单需求或者在企微提出的协助需求以外，是不会去操作您的listing相关业务的。</t>
  </si>
  <si>
    <t>采购价这里你们是不是会有赚差价？</t>
  </si>
  <si>
    <t>按客户经验判断用不同的话术答复
①针对知道Cost概念的客户（一般指自己有VC账号的卖家、或者之前有过手搓VC业务的卖家），可以说我们在这里面有不到2%的差价，其次我们也需要正常收取对应回款周期的平台服务费0%~3%；
②针对不知道Cost概念的客户，我们收取的只有平台服务费0%~3%，没有其他差价，为了公司有持续盈利的能力，我们还会提供合作的平台仓、系统的增值服务等收费项目，您可以选择性使用。</t>
  </si>
  <si>
    <t>你们VC后台的收款账号能不能修改成我们自己的？</t>
  </si>
  <si>
    <t>不能</t>
  </si>
  <si>
    <t>合同需要法人签字，能不能满足？</t>
  </si>
  <si>
    <t>合同加盖企业公章了，理论不需要法人签字；如果您实在需要法人的签字，我这边可以给您去走公司的流程，但是这中间会耽搁您在我们这边启动VC项目的时间，主要是看客户您目前的一个需求</t>
  </si>
  <si>
    <t>不同销售表现的ASIN，可不可以给统一的报价，一起入驻</t>
  </si>
  <si>
    <t>例主要会看ASIN所在的类目，以及ASIN目前的一个基础数据（销售/评论积累/SC综合费用参考等）做出报价，一般不会是一个统一报价</t>
  </si>
  <si>
    <t>你们的报价逻辑，考虑的因素有哪些？</t>
  </si>
  <si>
    <t>①竞品价格；②市场价格；③产品自身历史价格应该是指平台采购价-我们主要是基于产品过去历史价格和在SC运营过程中的总费率测算，确保其价格能够满足Amazon的利润，也不损害贵司的利润空间的同时，来尽力避免后续贵司在VC运营过程中不会受到类似价格、广告、促销等抑制影响；</t>
  </si>
  <si>
    <t>你们的广告是怎么开的？</t>
  </si>
  <si>
    <t>入驻近咱们云舟后，在云舟系统的广告模块中开通广告支付账户，预充值1000美金保证金，您需要再充值规划的广告费用，进行广告活动的规划</t>
  </si>
  <si>
    <t>售后需求比较高的产品，VC这边是怎么处理售后的，上架VC以后，我们还有途径能跟消费者直接联系到吗？</t>
  </si>
  <si>
    <t>①售后说明书，添加二维码引导顾客到品牌官网进行售后信息收集，顾客遇到问题直接找品牌客服而不是亚马逊客服，前提是顾客得注册了透明计划；
②加入PLS（Product Lifecycle Support）计划，亚马逊官方直接接入品牌官网，引导顾客处理售后问题时直接找品牌客服。</t>
  </si>
  <si>
    <t>如果产品在亚马逊销售一段时间后不挣钱，你们怎么处理？</t>
  </si>
  <si>
    <t>我们运营是全流程陪跑的，不管是前期的报价还是后期的接单和推广，我们运营都会帮助您衡量产品的利润表现，如果出现亚马逊利润不足、ASIN订单/促销/广告被抑制等情况，我们运营会给到对应的解决方案，VM和AVS团队也会协助你们解除异常</t>
  </si>
  <si>
    <t>PO来的少，不够库存卖怎么办？</t>
  </si>
  <si>
    <t>1. 做DF，刺激PO下单
2. BTR手动订单
3. 加快动销</t>
  </si>
  <si>
    <t>关于财税合规这方面的，客户比较关心我们这种模式下，在当前大环境是财税合规的前提下，我们的税务方面是怎么解决的？</t>
  </si>
  <si>
    <t>财税客户主要指的是哪方面的，理解有两个方面：
①如果是到海外第三方仓之前，涉及到的关税等是需要客户自行申报财税；
②如果是指的之前新出台的Amazon的针对平台销售额的那个税务，这个目前来看政策只出在SC，VC一方面没有看到这个政策，另一方面我们VC是美国本土账号，理应不涉及来中国报税，所以从这个层面来理解我们的VC账号理应不涉及这个税务问题，不过这个我们还需要进一步调研和确认而已
③如果需要更深入的解答，建议客户找专门的跨境税务公司做一下方案咨询</t>
  </si>
  <si>
    <t>运营技巧</t>
  </si>
  <si>
    <t>有其他卖家跟卖VC的链接怎么办</t>
  </si>
  <si>
    <t xml:space="preserve">现在购物车还在VC的，如果要赶的话，要么真实购买投诉，品牌备案了的话有个投诉入口也可以去投诉。新起链接 R标，FBA可以做透明计划，FBM做透明计划没用
1. BR赶跟卖；
2. 参加透明计划；
</t>
  </si>
  <si>
    <t>SC和VC能同时一起卖吗？</t>
  </si>
  <si>
    <t>不建议，VC库存上架之后，buybox稳定在VC，不然SC VC两边互抢buybox,影响链接权重。</t>
  </si>
  <si>
    <t>有做欧洲吗？</t>
  </si>
  <si>
    <t>有做，暂不开放</t>
  </si>
  <si>
    <t>云舟平台仓</t>
  </si>
  <si>
    <t>我们跟这两家（西邮和谷仓）也有合作，可不可以直接把我们的商品信息刊登到你们系统接入管理</t>
  </si>
  <si>
    <t>不支持直接导入贵司自己账号的商品库存数据，需要用我司提供的系统（理解为新的客户代码）新建商品信息管理库存才行，这样仓库会明确知晓贵司是云舟VC渠道的，可以更完美配合</t>
  </si>
  <si>
    <t>你们提供的仓库支持发其他渠道吗</t>
  </si>
  <si>
    <t>支持，多平台尾程业务都可以提供</t>
  </si>
  <si>
    <t>为什么你们的报价更贵</t>
  </si>
  <si>
    <t xml:space="preserve">1.我们投入了研发成本与海外仓系统打通自动化业务流程，因此会比仓库提供的报价相对贵一点，这也是我司的收入来源之一。
2.在出库发往亚马逊的过程中，一些涉及到海外仓操作不当产生的罚款，如果是客户自己第三方海外仓发货，均为供应商责任，需承担罚款；如果CloudBoat云仓发货，均为我司责任，无需供应商承担罚款。
包括但不限于：
（1）PO订单和PO BBO订单发货准时率罚款
规则：供应商已经确认接单的产品(包括缺货产品）未在采购订单限期内发出，而在发货窗口期外发货时，会收到采购订单准时性罚款。
（2） DF订单超期发货罚款
规则：DF订单正常落单后，供应商未在“最迟发货时间”之前完成发货并在系统点击出库时，按照ASIN/1pcs进行罚款。
（3）DF订单方式不匹配罚款
规则：DF订单没有按照亚马逊订单中指定的承运人或运输商方式运送对应订单时就会产生罚款。
（4） ASN准确性罚款
- 规则：在PO发货的货物到达亚马逊VC仓库时，供应商仍没有提交ASN，将会产生此罚款。
 第三方海外仓发货，供应商需要在完成发货后，及时在CloudBoat系统出库单列表中点击“出库”以触发系统提交ASN的动作，故责任方为供应商，需承担罚款。
（5） TL或LTL的ARN无效或缺失罚款
- 规则：ASN中的亚马逊参考编号 (ARN) 对于整车运输 (TL) 或零担运输 (LTL) 不准确或缺失。
第三方海外仓发货，由于上传的BOL信息有误导致的罚款，故责任方为供应商，需要承担相关罚款；
（6）PRO或BOL与TL或LTL不匹配
规则：ASN中输入的PRO或BOL与承运人指定的相应 PRO 和 BOL 不匹配。 第三方海外仓发货，由于上传的BOL信息有误导致的罚款，故责任方为供应商，需要承担相关罚款。
（术语解释：ASN（Advanced Shipping Notice）是装运通知‌，指卖家在货物发运前向亚马逊提交的详细装运信息文件，用于提前通知亚马逊即将到达的货件细节；BOL - Bill of Lading (提货单)。承运人（卡车公司） 出具的、具有法律效力的运输合同；PRO - Progressive/Processor Number (进程号/承运人参考号) 承运人（卡车公司） 为其内部的每一票零担（LTL）或整车（TL）货物分配的内部追踪号码；ARN - Amazon Reference Number (亚马逊参考编号) 亚马逊为其收到的每一个预约送货申请分配的唯一识别码。）
</t>
  </si>
  <si>
    <t>有没有什么优惠</t>
  </si>
  <si>
    <t>这个需要结合贵司的仓储业务体量、VC业务体量来申请，我们可以尽力帮您争取</t>
  </si>
  <si>
    <t>如果支持DF模式，贵司VC合作的仓库有哪些，最近能不能接受我们产品入仓（包括亚马逊移仓）</t>
  </si>
  <si>
    <t>我们VC不绑定合作仓库，可以用您自己的（但我们会介入审核仓库是否符合做亚马逊VC账号的时效要求），如果没有自己的海外仓我们也可以建议，我们也可提供专门的平台合作仓，目前2家，在美国东西南中都有布局，一个是谷仓，一个是西邮，都是比较知名的海外仓企业，要合作的话先给您看下报价，合适就签仓储协议，然后入仓，但是目前两家都不能接受SC FBA的亚马逊移仓（没有办法按要求贴标、丢件概率很高）</t>
  </si>
  <si>
    <t>运营相关问题</t>
  </si>
  <si>
    <t>年份</t>
  </si>
  <si>
    <t>事件</t>
  </si>
  <si>
    <t>品牌数量</t>
  </si>
  <si>
    <t>年GMV</t>
  </si>
  <si>
    <t>年增长率</t>
  </si>
  <si>
    <t>月GMV</t>
  </si>
  <si>
    <t>单品牌年GMV规模</t>
  </si>
  <si>
    <t>开始亚马逊运营，家居家纺、小家电</t>
  </si>
  <si>
    <t>/</t>
  </si>
  <si>
    <t>品牌初具规模，开始打造旗舰店，新建品牌、拓展产品线</t>
  </si>
  <si>
    <t>持续深耕品牌，布局线下商超、海外仓、售后服务</t>
  </si>
  <si>
    <t>拓展其他跨境电商平台，建设独立站、品牌矩阵+产品矩阵</t>
  </si>
  <si>
    <t>单品牌年GMV突破1000万美金，受邀VC，开始在VC试点Home品类产品</t>
  </si>
  <si>
    <t>VC投入加大，品牌整体营收同比翻倍</t>
  </si>
  <si>
    <t>邀请部分同行SC卖家加入，以少量优质链接入驻VC，手搓VC服务运营时代开始，探索阶段，没有大肆公开招商</t>
  </si>
  <si>
    <t>疫情影响、市场需求下降，且出现VC封号大事件，开始稳健运营，不再对外拓展新品牌新业务</t>
  </si>
  <si>
    <t>疫情结束，工厂复工，开始拓展新产品线、布局新品牌与新平台</t>
  </si>
  <si>
    <t>多渠道多平台布局（多个电商平台、独立站、全球布局），突破新增长，开始了解到VC系统管理服务的相关平台</t>
  </si>
  <si>
    <t>投入研发资金与人力，搭建美国站VC分销平台，顺利在9月开始对外招商，自营品牌规模也实现环比去年40%的增长，欧洲VC筹备中</t>
  </si>
  <si>
    <t>VC年平均增长率</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</si>
</sst>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quot;.&quot;0,&quot;万&quot;"/>
    <numFmt numFmtId="177" formatCode="0&quot;.&quot;00,,&quot;亿&quot;"/>
  </numFmts>
  <fonts count="36">
    <font>
      <sz val="10"/>
      <color theme="1"/>
      <name val="宋体"/>
      <charset val="134"/>
      <scheme val="minor"/>
    </font>
    <font>
      <b/>
      <sz val="12"/>
      <color theme="0"/>
      <name val="宋体"/>
      <charset val="134"/>
      <scheme val="minor"/>
    </font>
    <font>
      <sz val="10"/>
      <color rgb="FFFF0000"/>
      <name val="宋体"/>
      <charset val="134"/>
      <scheme val="minor"/>
    </font>
    <font>
      <b/>
      <sz val="10"/>
      <color theme="1"/>
      <name val="宋体"/>
      <charset val="134"/>
      <scheme val="minor"/>
    </font>
    <font>
      <b/>
      <sz val="12"/>
      <color rgb="FF000000"/>
      <name val="宋体"/>
      <charset val="134"/>
      <scheme val="minor"/>
    </font>
    <font>
      <b/>
      <sz val="9"/>
      <color rgb="FF000000"/>
      <name val="宋体"/>
      <charset val="134"/>
      <scheme val="minor"/>
    </font>
    <font>
      <sz val="9"/>
      <color rgb="FF000000"/>
      <name val="宋体"/>
      <charset val="134"/>
      <scheme val="minor"/>
    </font>
    <font>
      <sz val="9"/>
      <color rgb="FF000000"/>
      <name val="宋体"/>
      <charset val="134"/>
    </font>
    <font>
      <b/>
      <sz val="9"/>
      <name val="宋体"/>
      <charset val="134"/>
      <scheme val="minor"/>
    </font>
    <font>
      <sz val="9"/>
      <color rgb="FF000000"/>
      <name val="Calibri"/>
      <charset val="134"/>
    </font>
    <font>
      <sz val="9"/>
      <name val="宋体"/>
      <charset val="134"/>
      <scheme val="minor"/>
    </font>
    <font>
      <sz val="9"/>
      <color rgb="FFFF0000"/>
      <name val="宋体"/>
      <charset val="134"/>
      <scheme val="minor"/>
    </font>
    <font>
      <sz val="9"/>
      <name val="宋体"/>
      <charset val="134"/>
    </font>
    <font>
      <b/>
      <sz val="9"/>
      <name val="Calibri"/>
      <charset val="134"/>
    </font>
    <font>
      <b/>
      <sz val="9"/>
      <color rgb="FF000000"/>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color rgb="FF000000"/>
      <name val="宋体"/>
      <charset val="134"/>
    </font>
  </fonts>
  <fills count="38">
    <fill>
      <patternFill patternType="none"/>
    </fill>
    <fill>
      <patternFill patternType="gray125"/>
    </fill>
    <fill>
      <patternFill patternType="solid">
        <fgColor theme="5"/>
        <bgColor indexed="64"/>
      </patternFill>
    </fill>
    <fill>
      <patternFill patternType="solid">
        <fgColor rgb="FFE9EDF0"/>
        <bgColor indexed="64"/>
      </patternFill>
    </fill>
    <fill>
      <patternFill patternType="solid">
        <fgColor rgb="FFFFFF00"/>
        <bgColor indexed="64"/>
      </patternFill>
    </fill>
    <fill>
      <patternFill patternType="solid">
        <fgColor rgb="FFF8F7E5"/>
        <bgColor indexed="64"/>
      </patternFill>
    </fill>
    <fill>
      <patternFill patternType="solid">
        <fgColor rgb="FFFFF258"/>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2"/>
        <bgColor indexed="64"/>
      </patternFill>
    </fill>
    <fill>
      <patternFill patternType="solid">
        <fgColor theme="4" tint="0.599994"/>
        <bgColor indexed="64"/>
      </patternFill>
    </fill>
    <fill>
      <patternFill patternType="solid">
        <fgColor theme="4" tint="0.399976"/>
        <bgColor indexed="64"/>
      </patternFill>
    </fill>
    <fill>
      <patternFill patternType="solid">
        <fgColor theme="5" tint="0.799982"/>
        <bgColor indexed="64"/>
      </patternFill>
    </fill>
    <fill>
      <patternFill patternType="solid">
        <fgColor theme="5" tint="0.599994"/>
        <bgColor indexed="64"/>
      </patternFill>
    </fill>
    <fill>
      <patternFill patternType="solid">
        <fgColor theme="5" tint="0.399976"/>
        <bgColor indexed="64"/>
      </patternFill>
    </fill>
    <fill>
      <patternFill patternType="solid">
        <fgColor theme="6"/>
        <bgColor indexed="64"/>
      </patternFill>
    </fill>
    <fill>
      <patternFill patternType="solid">
        <fgColor theme="6" tint="0.799982"/>
        <bgColor indexed="64"/>
      </patternFill>
    </fill>
    <fill>
      <patternFill patternType="solid">
        <fgColor theme="6" tint="0.599994"/>
        <bgColor indexed="64"/>
      </patternFill>
    </fill>
    <fill>
      <patternFill patternType="solid">
        <fgColor theme="6" tint="0.399976"/>
        <bgColor indexed="64"/>
      </patternFill>
    </fill>
    <fill>
      <patternFill patternType="solid">
        <fgColor theme="7"/>
        <bgColor indexed="64"/>
      </patternFill>
    </fill>
    <fill>
      <patternFill patternType="solid">
        <fgColor theme="7" tint="0.799982"/>
        <bgColor indexed="64"/>
      </patternFill>
    </fill>
    <fill>
      <patternFill patternType="solid">
        <fgColor theme="7" tint="0.599994"/>
        <bgColor indexed="64"/>
      </patternFill>
    </fill>
    <fill>
      <patternFill patternType="solid">
        <fgColor theme="7" tint="0.399976"/>
        <bgColor indexed="64"/>
      </patternFill>
    </fill>
    <fill>
      <patternFill patternType="solid">
        <fgColor theme="8"/>
        <bgColor indexed="64"/>
      </patternFill>
    </fill>
    <fill>
      <patternFill patternType="solid">
        <fgColor theme="8" tint="0.799982"/>
        <bgColor indexed="64"/>
      </patternFill>
    </fill>
    <fill>
      <patternFill patternType="solid">
        <fgColor theme="8" tint="0.599994"/>
        <bgColor indexed="64"/>
      </patternFill>
    </fill>
    <fill>
      <patternFill patternType="solid">
        <fgColor theme="8" tint="0.399976"/>
        <bgColor indexed="64"/>
      </patternFill>
    </fill>
    <fill>
      <patternFill patternType="solid">
        <fgColor theme="9"/>
        <bgColor indexed="64"/>
      </patternFill>
    </fill>
    <fill>
      <patternFill patternType="solid">
        <fgColor theme="9" tint="0.799982"/>
        <bgColor indexed="64"/>
      </patternFill>
    </fill>
    <fill>
      <patternFill patternType="solid">
        <fgColor theme="9" tint="0.599994"/>
        <bgColor indexed="64"/>
      </patternFill>
    </fill>
    <fill>
      <patternFill patternType="solid">
        <fgColor theme="9" tint="0.399976"/>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15" fillId="0" borderId="0" applyFont="0" applyFill="0" applyBorder="0" applyAlignment="0" applyProtection="0">
      <alignment vertical="center"/>
    </xf>
    <xf numFmtId="44" fontId="15" fillId="0" borderId="0" applyFont="0" applyFill="0" applyBorder="0" applyAlignment="0" applyProtection="0">
      <alignment vertical="center"/>
    </xf>
    <xf numFmtId="9" fontId="15" fillId="0" borderId="0" applyFont="0" applyFill="0" applyBorder="0" applyAlignment="0" applyProtection="0">
      <alignment vertical="center"/>
    </xf>
    <xf numFmtId="41" fontId="15" fillId="0" borderId="0" applyFont="0" applyFill="0" applyBorder="0" applyAlignment="0" applyProtection="0">
      <alignment vertical="center"/>
    </xf>
    <xf numFmtId="42" fontId="15"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5" fillId="8" borderId="2"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3" applyNumberFormat="0" applyFill="0" applyAlignment="0" applyProtection="0">
      <alignment vertical="center"/>
    </xf>
    <xf numFmtId="0" fontId="22" fillId="0" borderId="3" applyNumberFormat="0" applyFill="0" applyAlignment="0" applyProtection="0">
      <alignment vertical="center"/>
    </xf>
    <xf numFmtId="0" fontId="23" fillId="0" borderId="4" applyNumberFormat="0" applyFill="0" applyAlignment="0" applyProtection="0">
      <alignment vertical="center"/>
    </xf>
    <xf numFmtId="0" fontId="23" fillId="0" borderId="0" applyNumberFormat="0" applyFill="0" applyBorder="0" applyAlignment="0" applyProtection="0">
      <alignment vertical="center"/>
    </xf>
    <xf numFmtId="0" fontId="24" fillId="9" borderId="5" applyNumberFormat="0" applyAlignment="0" applyProtection="0">
      <alignment vertical="center"/>
    </xf>
    <xf numFmtId="0" fontId="25" fillId="10" borderId="6" applyNumberFormat="0" applyAlignment="0" applyProtection="0">
      <alignment vertical="center"/>
    </xf>
    <xf numFmtId="0" fontId="26" fillId="10" borderId="5" applyNumberFormat="0" applyAlignment="0" applyProtection="0">
      <alignment vertical="center"/>
    </xf>
    <xf numFmtId="0" fontId="27" fillId="11" borderId="7" applyNumberFormat="0" applyAlignment="0" applyProtection="0">
      <alignment vertical="center"/>
    </xf>
    <xf numFmtId="0" fontId="28" fillId="0" borderId="8" applyNumberFormat="0" applyFill="0" applyAlignment="0" applyProtection="0">
      <alignment vertical="center"/>
    </xf>
    <xf numFmtId="0" fontId="29" fillId="0" borderId="9" applyNumberFormat="0" applyFill="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3"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3" fillId="18" borderId="0" applyNumberFormat="0" applyBorder="0" applyAlignment="0" applyProtection="0">
      <alignment vertical="center"/>
    </xf>
    <xf numFmtId="0" fontId="33" fillId="2" borderId="0" applyNumberFormat="0" applyBorder="0" applyAlignment="0" applyProtection="0">
      <alignment vertical="center"/>
    </xf>
    <xf numFmtId="0" fontId="34" fillId="19" borderId="0" applyNumberFormat="0" applyBorder="0" applyAlignment="0" applyProtection="0">
      <alignment vertical="center"/>
    </xf>
    <xf numFmtId="0" fontId="34"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34" fillId="35" borderId="0" applyNumberFormat="0" applyBorder="0" applyAlignment="0" applyProtection="0">
      <alignment vertical="center"/>
    </xf>
    <xf numFmtId="0" fontId="34" fillId="36" borderId="0" applyNumberFormat="0" applyBorder="0" applyAlignment="0" applyProtection="0">
      <alignment vertical="center"/>
    </xf>
    <xf numFmtId="0" fontId="33" fillId="37" borderId="0" applyNumberFormat="0" applyBorder="0" applyAlignment="0" applyProtection="0">
      <alignment vertical="center"/>
    </xf>
  </cellStyleXfs>
  <cellXfs count="52">
    <xf numFmtId="0" fontId="0" fillId="0" borderId="0" xfId="0" applyAlignment="1">
      <alignment vertical="center"/>
    </xf>
    <xf numFmtId="0" fontId="0" fillId="0" borderId="0" xfId="0" applyNumberFormat="1" applyFill="1" applyBorder="1" applyAlignment="1">
      <alignment horizontal="center" vertical="center"/>
    </xf>
    <xf numFmtId="0" fontId="1" fillId="2" borderId="0" xfId="0" applyFont="1" applyFill="1" applyAlignment="1">
      <alignment horizontal="center" vertical="center"/>
    </xf>
    <xf numFmtId="0" fontId="1" fillId="2" borderId="0" xfId="0" applyFont="1" applyFill="1" applyAlignment="1">
      <alignment horizontal="center" vertical="center" wrapText="1"/>
    </xf>
    <xf numFmtId="176" fontId="1" fillId="2" borderId="0" xfId="0" applyNumberFormat="1" applyFont="1" applyFill="1" applyAlignment="1">
      <alignment horizontal="center" vertical="center"/>
    </xf>
    <xf numFmtId="0" fontId="0" fillId="3" borderId="1" xfId="0" applyFill="1" applyBorder="1" applyAlignment="1">
      <alignment horizontal="left" vertical="center"/>
    </xf>
    <xf numFmtId="0" fontId="0" fillId="3" borderId="1" xfId="0" applyFill="1" applyBorder="1" applyAlignment="1">
      <alignment horizontal="left" vertical="center" wrapText="1"/>
    </xf>
    <xf numFmtId="0" fontId="0" fillId="3" borderId="1" xfId="0" applyFill="1" applyBorder="1" applyAlignment="1">
      <alignment horizontal="center" vertical="center"/>
    </xf>
    <xf numFmtId="176" fontId="0" fillId="3" borderId="1" xfId="0" applyNumberFormat="1" applyFill="1" applyBorder="1" applyAlignment="1">
      <alignment horizontal="center" vertical="center"/>
    </xf>
    <xf numFmtId="9" fontId="0" fillId="3" borderId="1" xfId="3" applyFont="1" applyFill="1" applyBorder="1" applyAlignment="1">
      <alignment horizontal="center" vertical="center"/>
    </xf>
    <xf numFmtId="0" fontId="0" fillId="4" borderId="1" xfId="0" applyFill="1" applyBorder="1" applyAlignment="1">
      <alignment horizontal="left" vertical="center"/>
    </xf>
    <xf numFmtId="0" fontId="0" fillId="4" borderId="1" xfId="0" applyFill="1" applyBorder="1" applyAlignment="1">
      <alignment horizontal="left" vertical="center" wrapText="1"/>
    </xf>
    <xf numFmtId="0" fontId="0" fillId="5" borderId="1" xfId="0" applyFill="1" applyBorder="1" applyAlignment="1">
      <alignment horizontal="center" vertical="center"/>
    </xf>
    <xf numFmtId="176" fontId="0" fillId="5" borderId="1" xfId="0" applyNumberFormat="1" applyFill="1" applyBorder="1" applyAlignment="1">
      <alignment horizontal="center" vertical="center"/>
    </xf>
    <xf numFmtId="9" fontId="0" fillId="5" borderId="1" xfId="3" applyFont="1" applyFill="1" applyBorder="1" applyAlignment="1">
      <alignment horizontal="center" vertical="center"/>
    </xf>
    <xf numFmtId="176" fontId="2" fillId="5" borderId="1" xfId="0" applyNumberFormat="1" applyFont="1" applyFill="1" applyBorder="1" applyAlignment="1">
      <alignment horizontal="center" vertical="center"/>
    </xf>
    <xf numFmtId="0" fontId="0" fillId="5" borderId="1" xfId="0" applyFill="1" applyBorder="1" applyAlignment="1">
      <alignment horizontal="left" vertical="center"/>
    </xf>
    <xf numFmtId="0" fontId="0" fillId="5" borderId="1" xfId="0" applyFill="1" applyBorder="1" applyAlignment="1">
      <alignment horizontal="left" vertical="center" wrapText="1"/>
    </xf>
    <xf numFmtId="177" fontId="0" fillId="5" borderId="1" xfId="0" applyNumberFormat="1" applyFill="1" applyBorder="1"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176" fontId="3" fillId="5" borderId="0" xfId="0" applyNumberFormat="1" applyFont="1" applyFill="1" applyAlignment="1">
      <alignment horizontal="center" vertical="center"/>
    </xf>
    <xf numFmtId="9" fontId="3" fillId="5" borderId="0" xfId="3" applyFont="1" applyFill="1" applyAlignment="1">
      <alignment horizontal="center" vertical="center"/>
    </xf>
    <xf numFmtId="176" fontId="0" fillId="0" borderId="0" xfId="0" applyNumberFormat="1" applyAlignment="1">
      <alignment horizontal="center" vertical="center"/>
    </xf>
    <xf numFmtId="0" fontId="0" fillId="0" borderId="0" xfId="0" applyNumberFormat="1" applyFill="1" applyBorder="1" applyAlignment="1">
      <alignment vertical="center" wrapText="1"/>
    </xf>
    <xf numFmtId="0" fontId="4" fillId="6" borderId="0" xfId="0" applyFont="1" applyFill="1" applyAlignment="1">
      <alignment horizontal="left" vertical="center"/>
    </xf>
    <xf numFmtId="0" fontId="4" fillId="6" borderId="0" xfId="0" applyFont="1" applyFill="1" applyAlignment="1">
      <alignment horizontal="left" vertical="center" wrapText="1"/>
    </xf>
    <xf numFmtId="0" fontId="5" fillId="0" borderId="0" xfId="0" applyFont="1" applyAlignment="1">
      <alignment vertical="center"/>
    </xf>
    <xf numFmtId="0" fontId="5" fillId="7" borderId="0" xfId="0" applyFont="1" applyFill="1" applyAlignment="1">
      <alignment vertical="center" wrapText="1"/>
    </xf>
    <xf numFmtId="0" fontId="6" fillId="0" borderId="0" xfId="0" applyNumberFormat="1" applyFont="1" applyAlignment="1">
      <alignment vertical="center" wrapText="1"/>
    </xf>
    <xf numFmtId="0" fontId="6" fillId="0" borderId="0" xfId="0" applyFont="1" applyAlignment="1">
      <alignment vertical="center" wrapText="1"/>
    </xf>
    <xf numFmtId="0" fontId="5" fillId="0" borderId="0" xfId="0" applyFont="1" applyAlignment="1">
      <alignment vertical="center" wrapText="1"/>
    </xf>
    <xf numFmtId="0" fontId="7" fillId="0" borderId="0" xfId="0" applyNumberFormat="1" applyFont="1" applyAlignment="1">
      <alignment vertical="center" wrapText="1"/>
    </xf>
    <xf numFmtId="0" fontId="5" fillId="0" borderId="0" xfId="0" applyFont="1" applyAlignment="1">
      <alignment horizontal="center" vertical="center"/>
    </xf>
    <xf numFmtId="0" fontId="8" fillId="0" borderId="0" xfId="0" applyNumberFormat="1" applyFont="1" applyAlignment="1">
      <alignment vertical="center" wrapText="1"/>
    </xf>
    <xf numFmtId="0" fontId="5" fillId="0" borderId="0" xfId="0" applyNumberFormat="1" applyFont="1" applyAlignment="1">
      <alignment vertical="center" wrapText="1"/>
    </xf>
    <xf numFmtId="0" fontId="8" fillId="0" borderId="0" xfId="0" applyFont="1" applyAlignment="1">
      <alignment vertical="center" wrapText="1"/>
    </xf>
    <xf numFmtId="0" fontId="6" fillId="0" borderId="0" xfId="0" applyNumberFormat="1" applyFont="1" applyAlignment="1">
      <alignment horizontal="left" vertical="center" wrapText="1"/>
    </xf>
    <xf numFmtId="0" fontId="6" fillId="0" borderId="0" xfId="0" applyFont="1" applyAlignment="1">
      <alignment horizontal="left" vertical="center" wrapText="1"/>
    </xf>
    <xf numFmtId="0" fontId="9" fillId="0" borderId="0" xfId="0" applyFont="1" applyAlignment="1">
      <alignment vertical="center" wrapText="1"/>
    </xf>
    <xf numFmtId="0" fontId="10" fillId="0" borderId="0" xfId="0" applyNumberFormat="1" applyFont="1" applyAlignment="1">
      <alignment vertical="center" wrapText="1"/>
    </xf>
    <xf numFmtId="0" fontId="11" fillId="0" borderId="0" xfId="0" applyFont="1" applyAlignment="1">
      <alignment vertical="center" wrapText="1"/>
    </xf>
    <xf numFmtId="0" fontId="5" fillId="4" borderId="0" xfId="0" applyNumberFormat="1" applyFont="1" applyFill="1" applyAlignment="1">
      <alignment vertical="center" wrapText="1"/>
    </xf>
    <xf numFmtId="0" fontId="6" fillId="4" borderId="0" xfId="0" applyNumberFormat="1" applyFont="1" applyFill="1" applyAlignment="1">
      <alignment vertical="center" wrapText="1"/>
    </xf>
    <xf numFmtId="0" fontId="7" fillId="4" borderId="0" xfId="0" applyNumberFormat="1" applyFont="1" applyFill="1" applyAlignment="1">
      <alignment vertical="center" wrapText="1"/>
    </xf>
    <xf numFmtId="0" fontId="12" fillId="0" borderId="0" xfId="0" applyNumberFormat="1" applyFont="1" applyAlignment="1">
      <alignment vertical="center" wrapText="1"/>
    </xf>
    <xf numFmtId="0" fontId="13" fillId="0" borderId="0" xfId="0" applyNumberFormat="1" applyFont="1" applyAlignment="1">
      <alignment vertical="center" wrapText="1"/>
    </xf>
    <xf numFmtId="0" fontId="14" fillId="0" borderId="0" xfId="0" applyFont="1" applyAlignment="1">
      <alignment vertical="center" wrapText="1"/>
    </xf>
    <xf numFmtId="0" fontId="5" fillId="4" borderId="0" xfId="0" applyFont="1" applyFill="1" applyAlignment="1">
      <alignment vertical="center" wrapText="1"/>
    </xf>
    <xf numFmtId="0" fontId="0" fillId="0" borderId="0" xfId="0" applyAlignment="1">
      <alignment vertical="center" wrapText="1"/>
    </xf>
    <xf numFmtId="0" fontId="5" fillId="0" borderId="0" xfId="0" applyFont="1" applyAlignment="1">
      <alignment horizontal="left" vertical="center" wrapText="1"/>
    </xf>
    <xf numFmtId="0" fontId="0" fillId="0" borderId="0" xfId="0" applyNumberForma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72"/>
  <sheetViews>
    <sheetView tabSelected="1" zoomScale="130" zoomScaleNormal="130" workbookViewId="0">
      <pane ySplit="1" topLeftCell="A60" activePane="bottomLeft" state="frozen"/>
      <selection/>
      <selection pane="bottomLeft" activeCell="B27" sqref="B27:C27"/>
    </sheetView>
  </sheetViews>
  <sheetFormatPr defaultColWidth="14" defaultRowHeight="13" outlineLevelCol="3"/>
  <cols>
    <col min="1" max="1" width="14.97" customWidth="1"/>
    <col min="2" max="2" width="20.62" customWidth="1"/>
    <col min="3" max="3" width="70.41" customWidth="1"/>
    <col min="4" max="4" width="45.05" style="24" customWidth="1"/>
    <col min="5" max="5" width="81" customWidth="1"/>
    <col min="6" max="21" width="15" customWidth="1"/>
  </cols>
  <sheetData>
    <row r="1" ht="15" spans="1:4">
      <c r="A1" s="25" t="s">
        <v>0</v>
      </c>
      <c r="B1" s="26" t="s">
        <v>1</v>
      </c>
      <c r="C1" s="26" t="s">
        <v>2</v>
      </c>
      <c r="D1" s="26" t="s">
        <v>3</v>
      </c>
    </row>
    <row r="2" ht="93" customHeight="1" spans="1:4">
      <c r="A2" s="27" t="s">
        <v>4</v>
      </c>
      <c r="B2" s="28" t="s">
        <v>5</v>
      </c>
      <c r="C2" s="29" t="s">
        <v>6</v>
      </c>
      <c r="D2" s="30"/>
    </row>
    <row r="3" ht="76" customHeight="1" spans="1:4">
      <c r="A3" s="27" t="s">
        <v>7</v>
      </c>
      <c r="B3" s="31" t="s">
        <v>8</v>
      </c>
      <c r="C3" s="32" t="s">
        <v>9</v>
      </c>
      <c r="D3" s="30"/>
    </row>
    <row r="4" ht="41.25" customHeight="1" spans="1:4">
      <c r="A4" s="33" t="s">
        <v>10</v>
      </c>
      <c r="B4" s="31" t="s">
        <v>11</v>
      </c>
      <c r="C4" s="30" t="s">
        <v>12</v>
      </c>
      <c r="D4" s="30"/>
    </row>
    <row r="5" ht="27.75" customHeight="1" spans="1:4">
      <c r="A5" s="33"/>
      <c r="B5" s="34" t="s">
        <v>13</v>
      </c>
      <c r="C5" s="30" t="s">
        <v>14</v>
      </c>
      <c r="D5" s="30"/>
    </row>
    <row r="6" ht="22.5" customHeight="1" spans="1:4">
      <c r="A6" s="33" t="s">
        <v>15</v>
      </c>
      <c r="B6" s="35" t="s">
        <v>16</v>
      </c>
      <c r="C6" s="29" t="s">
        <v>17</v>
      </c>
      <c r="D6" s="30"/>
    </row>
    <row r="7" ht="40.5" customHeight="1" spans="1:4">
      <c r="A7" s="33"/>
      <c r="B7" s="36" t="s">
        <v>18</v>
      </c>
      <c r="C7" s="29" t="s">
        <v>19</v>
      </c>
      <c r="D7" s="30"/>
    </row>
    <row r="8" ht="48" spans="1:4">
      <c r="A8" s="33"/>
      <c r="B8" s="35" t="s">
        <v>20</v>
      </c>
      <c r="C8" s="37" t="s">
        <v>21</v>
      </c>
      <c r="D8" s="38"/>
    </row>
    <row r="9" ht="47" customHeight="1" spans="1:4">
      <c r="A9" s="33"/>
      <c r="B9" s="35" t="s">
        <v>22</v>
      </c>
      <c r="C9" s="37" t="s">
        <v>23</v>
      </c>
      <c r="D9" s="39"/>
    </row>
    <row r="10" ht="24" spans="1:4">
      <c r="A10" s="33"/>
      <c r="B10" s="31" t="s">
        <v>24</v>
      </c>
      <c r="C10" s="40" t="s">
        <v>25</v>
      </c>
      <c r="D10" s="41"/>
    </row>
    <row r="11" ht="24" spans="1:4">
      <c r="A11" s="33"/>
      <c r="B11" s="31" t="s">
        <v>26</v>
      </c>
      <c r="C11" s="30" t="s">
        <v>27</v>
      </c>
      <c r="D11" s="30"/>
    </row>
    <row r="12" ht="96" spans="1:4">
      <c r="A12" s="33"/>
      <c r="B12" s="42" t="s">
        <v>28</v>
      </c>
      <c r="C12" s="43" t="s">
        <v>29</v>
      </c>
      <c r="D12" s="29"/>
    </row>
    <row r="13" ht="12.75" customHeight="1" spans="1:4">
      <c r="A13" s="33"/>
      <c r="B13" s="34" t="s">
        <v>30</v>
      </c>
      <c r="C13" s="29" t="s">
        <v>31</v>
      </c>
      <c r="D13" s="30"/>
    </row>
    <row r="14" ht="90.75" customHeight="1" spans="1:4">
      <c r="A14" s="33"/>
      <c r="B14" s="42" t="s">
        <v>32</v>
      </c>
      <c r="C14" s="44" t="s">
        <v>33</v>
      </c>
      <c r="D14" s="39"/>
    </row>
    <row r="15" ht="36" spans="1:4">
      <c r="A15" s="33"/>
      <c r="B15" s="35" t="s">
        <v>34</v>
      </c>
      <c r="C15" s="45" t="s">
        <v>35</v>
      </c>
      <c r="D15" s="39"/>
    </row>
    <row r="16" ht="89" customHeight="1" spans="1:4">
      <c r="A16" s="33"/>
      <c r="B16" s="35" t="s">
        <v>36</v>
      </c>
      <c r="C16" s="32" t="s">
        <v>37</v>
      </c>
      <c r="D16" s="39"/>
    </row>
    <row r="17" ht="65" customHeight="1" spans="1:4">
      <c r="A17" s="33"/>
      <c r="B17" s="35" t="s">
        <v>38</v>
      </c>
      <c r="C17" s="32" t="s">
        <v>39</v>
      </c>
      <c r="D17" s="39"/>
    </row>
    <row r="18" ht="288" spans="1:4">
      <c r="A18" s="33"/>
      <c r="B18" s="31" t="s">
        <v>40</v>
      </c>
      <c r="C18" s="46" t="s">
        <v>41</v>
      </c>
      <c r="D18" s="47"/>
    </row>
    <row r="19" ht="144" customHeight="1" spans="1:4">
      <c r="A19" s="33"/>
      <c r="B19" s="34" t="s">
        <v>42</v>
      </c>
      <c r="C19" s="29" t="s">
        <v>43</v>
      </c>
      <c r="D19" s="30"/>
    </row>
    <row r="20" ht="24" spans="1:4">
      <c r="A20" s="33"/>
      <c r="B20" s="31" t="s">
        <v>44</v>
      </c>
      <c r="C20" s="29" t="s">
        <v>45</v>
      </c>
      <c r="D20" s="30"/>
    </row>
    <row r="21" ht="68.25" customHeight="1" spans="1:4">
      <c r="A21" s="33"/>
      <c r="B21" s="31" t="s">
        <v>46</v>
      </c>
      <c r="C21" s="30" t="s">
        <v>47</v>
      </c>
      <c r="D21" s="30"/>
    </row>
    <row r="22" ht="60" spans="1:4">
      <c r="A22" s="33"/>
      <c r="B22" s="35" t="s">
        <v>48</v>
      </c>
      <c r="C22" s="30" t="s">
        <v>49</v>
      </c>
      <c r="D22" s="30"/>
    </row>
    <row r="23" ht="91.5" customHeight="1" spans="1:4">
      <c r="A23" s="33"/>
      <c r="B23" s="31" t="s">
        <v>50</v>
      </c>
      <c r="C23" s="29" t="s">
        <v>51</v>
      </c>
      <c r="D23" s="30"/>
    </row>
    <row r="24" ht="66" customHeight="1" spans="1:4">
      <c r="A24" s="33"/>
      <c r="B24" s="31" t="s">
        <v>52</v>
      </c>
      <c r="C24" s="29" t="s">
        <v>53</v>
      </c>
      <c r="D24" s="30"/>
    </row>
    <row r="25" ht="167.25" customHeight="1" spans="1:4">
      <c r="A25" s="33"/>
      <c r="B25" s="48" t="s">
        <v>54</v>
      </c>
      <c r="C25" s="43" t="s">
        <v>55</v>
      </c>
      <c r="D25" s="30"/>
    </row>
    <row r="26" ht="48" spans="1:4">
      <c r="A26" s="33"/>
      <c r="B26" s="31" t="s">
        <v>56</v>
      </c>
      <c r="C26" s="29" t="s">
        <v>57</v>
      </c>
      <c r="D26" s="30"/>
    </row>
    <row r="27" ht="48" spans="1:4">
      <c r="A27" s="33"/>
      <c r="B27" s="48" t="s">
        <v>58</v>
      </c>
      <c r="C27" s="43" t="s">
        <v>59</v>
      </c>
      <c r="D27" s="30"/>
    </row>
    <row r="28" ht="24" spans="1:4">
      <c r="A28" s="33"/>
      <c r="B28" s="30" t="s">
        <v>60</v>
      </c>
      <c r="C28" s="30" t="s">
        <v>61</v>
      </c>
      <c r="D28" s="30"/>
    </row>
    <row r="29" ht="24" spans="1:4">
      <c r="A29" s="33"/>
      <c r="B29" s="30" t="s">
        <v>62</v>
      </c>
      <c r="C29" s="29" t="s">
        <v>63</v>
      </c>
      <c r="D29" s="30"/>
    </row>
    <row r="30" spans="1:4">
      <c r="A30" s="33"/>
      <c r="B30" s="30" t="s">
        <v>64</v>
      </c>
      <c r="C30" s="30" t="s">
        <v>65</v>
      </c>
      <c r="D30" s="30"/>
    </row>
    <row r="31" ht="24" spans="1:4">
      <c r="A31" s="33"/>
      <c r="B31" s="30" t="s">
        <v>66</v>
      </c>
      <c r="C31" s="29" t="s">
        <v>67</v>
      </c>
      <c r="D31" s="30"/>
    </row>
    <row r="32" ht="36" spans="1:4">
      <c r="A32" s="33"/>
      <c r="B32" s="30" t="s">
        <v>68</v>
      </c>
      <c r="C32" s="29" t="s">
        <v>69</v>
      </c>
      <c r="D32" s="30"/>
    </row>
    <row r="33" ht="36" spans="1:4">
      <c r="A33" s="33"/>
      <c r="B33" s="30" t="s">
        <v>70</v>
      </c>
      <c r="C33" s="30" t="s">
        <v>71</v>
      </c>
      <c r="D33" s="30"/>
    </row>
    <row r="34" ht="24" spans="1:4">
      <c r="A34" s="33"/>
      <c r="B34" s="30" t="s">
        <v>72</v>
      </c>
      <c r="C34" s="29" t="s">
        <v>73</v>
      </c>
      <c r="D34" s="30"/>
    </row>
    <row r="35" ht="192" spans="1:4">
      <c r="A35" s="33"/>
      <c r="B35" s="30" t="s">
        <v>74</v>
      </c>
      <c r="C35" s="29" t="s">
        <v>75</v>
      </c>
      <c r="D35" s="38" t="s">
        <v>76</v>
      </c>
    </row>
    <row r="36" ht="24" spans="1:4">
      <c r="A36" s="33"/>
      <c r="B36" s="30" t="s">
        <v>77</v>
      </c>
      <c r="C36" s="30" t="s">
        <v>78</v>
      </c>
      <c r="D36" s="30"/>
    </row>
    <row r="37" ht="24" spans="1:4">
      <c r="A37" s="33"/>
      <c r="B37" s="30" t="s">
        <v>79</v>
      </c>
      <c r="C37" s="30" t="s">
        <v>80</v>
      </c>
      <c r="D37" s="30"/>
    </row>
    <row r="38" ht="24" spans="1:4">
      <c r="A38" s="33"/>
      <c r="B38" s="30" t="s">
        <v>81</v>
      </c>
      <c r="C38" s="30" t="s">
        <v>82</v>
      </c>
      <c r="D38" s="30"/>
    </row>
    <row r="39" ht="36" spans="1:4">
      <c r="A39" s="33"/>
      <c r="B39" s="30" t="s">
        <v>83</v>
      </c>
      <c r="C39" s="30" t="s">
        <v>84</v>
      </c>
      <c r="D39" s="30"/>
    </row>
    <row r="40" ht="84" spans="1:4">
      <c r="A40" s="33"/>
      <c r="B40" s="30" t="s">
        <v>85</v>
      </c>
      <c r="C40" s="30" t="s">
        <v>86</v>
      </c>
      <c r="D40" s="30"/>
    </row>
    <row r="41" customFormat="1" ht="24" spans="1:4">
      <c r="A41" s="33"/>
      <c r="B41" s="30" t="s">
        <v>87</v>
      </c>
      <c r="C41" s="30" t="s">
        <v>88</v>
      </c>
      <c r="D41" s="49"/>
    </row>
    <row r="42" customFormat="1" ht="36" spans="1:4">
      <c r="A42" s="33"/>
      <c r="B42" s="30" t="s">
        <v>89</v>
      </c>
      <c r="C42" s="30" t="s">
        <v>90</v>
      </c>
      <c r="D42" s="49"/>
    </row>
    <row r="43" customFormat="1" spans="1:4">
      <c r="A43" s="33"/>
      <c r="B43" s="30" t="s">
        <v>91</v>
      </c>
      <c r="C43" s="30" t="s">
        <v>92</v>
      </c>
      <c r="D43" s="49"/>
    </row>
    <row r="44" customFormat="1" spans="1:4">
      <c r="A44" s="33"/>
      <c r="B44" s="30" t="s">
        <v>93</v>
      </c>
      <c r="C44" s="30" t="s">
        <v>94</v>
      </c>
      <c r="D44" s="49"/>
    </row>
    <row r="45" customFormat="1" ht="36" spans="1:4">
      <c r="A45" s="33"/>
      <c r="B45" s="30" t="s">
        <v>95</v>
      </c>
      <c r="C45" s="30" t="s">
        <v>96</v>
      </c>
      <c r="D45" s="49"/>
    </row>
    <row r="46" customFormat="1" ht="240" spans="1:4">
      <c r="A46" s="33"/>
      <c r="B46" s="30" t="s">
        <v>97</v>
      </c>
      <c r="C46" s="30" t="s">
        <v>98</v>
      </c>
      <c r="D46" s="49"/>
    </row>
    <row r="47" customFormat="1" ht="144" spans="1:4">
      <c r="A47" s="33"/>
      <c r="B47" s="30" t="s">
        <v>99</v>
      </c>
      <c r="C47" s="30" t="s">
        <v>100</v>
      </c>
      <c r="D47" s="49"/>
    </row>
    <row r="48" customFormat="1" ht="156" spans="1:4">
      <c r="A48" s="33"/>
      <c r="B48" s="30" t="s">
        <v>101</v>
      </c>
      <c r="C48" s="29" t="s">
        <v>102</v>
      </c>
      <c r="D48" s="49"/>
    </row>
    <row r="49" customFormat="1" ht="81" customHeight="1" spans="1:4">
      <c r="A49" s="33"/>
      <c r="B49" s="30" t="s">
        <v>103</v>
      </c>
      <c r="C49" s="29" t="s">
        <v>104</v>
      </c>
      <c r="D49" s="49"/>
    </row>
    <row r="50" customFormat="1" ht="72" spans="1:4">
      <c r="A50" s="33"/>
      <c r="B50" s="30" t="s">
        <v>105</v>
      </c>
      <c r="C50" s="30" t="s">
        <v>106</v>
      </c>
      <c r="D50" s="49"/>
    </row>
    <row r="51" customFormat="1" ht="24" spans="1:4">
      <c r="A51" s="33"/>
      <c r="B51" s="30" t="s">
        <v>107</v>
      </c>
      <c r="C51" s="30" t="s">
        <v>108</v>
      </c>
      <c r="D51" s="49"/>
    </row>
    <row r="52" customFormat="1" ht="36" spans="1:4">
      <c r="A52" s="33"/>
      <c r="B52" s="30" t="s">
        <v>109</v>
      </c>
      <c r="C52" s="30" t="s">
        <v>110</v>
      </c>
      <c r="D52" s="49"/>
    </row>
    <row r="53" customFormat="1" ht="36" spans="1:4">
      <c r="A53" s="33"/>
      <c r="B53" s="30" t="s">
        <v>111</v>
      </c>
      <c r="C53" s="30" t="s">
        <v>112</v>
      </c>
      <c r="D53" s="49"/>
    </row>
    <row r="54" customFormat="1" ht="84" spans="1:4">
      <c r="A54" s="33"/>
      <c r="B54" s="30" t="s">
        <v>113</v>
      </c>
      <c r="C54" s="30" t="s">
        <v>114</v>
      </c>
      <c r="D54" s="49"/>
    </row>
    <row r="55" customFormat="1" ht="24" spans="1:4">
      <c r="A55" s="33"/>
      <c r="B55" s="30" t="s">
        <v>115</v>
      </c>
      <c r="C55" s="30" t="s">
        <v>116</v>
      </c>
      <c r="D55" s="49"/>
    </row>
    <row r="56" customFormat="1" ht="36" spans="1:4">
      <c r="A56" s="33"/>
      <c r="B56" s="30" t="s">
        <v>117</v>
      </c>
      <c r="C56" s="30" t="s">
        <v>118</v>
      </c>
      <c r="D56" s="49"/>
    </row>
    <row r="57" customFormat="1" ht="36" spans="1:4">
      <c r="A57" s="33"/>
      <c r="B57" s="30" t="s">
        <v>119</v>
      </c>
      <c r="C57" s="30" t="s">
        <v>120</v>
      </c>
      <c r="D57" s="49"/>
    </row>
    <row r="58" customFormat="1" ht="48" spans="1:4">
      <c r="A58" s="33"/>
      <c r="B58" s="30" t="s">
        <v>121</v>
      </c>
      <c r="C58" s="30" t="s">
        <v>122</v>
      </c>
      <c r="D58" s="49"/>
    </row>
    <row r="59" customFormat="1" ht="24" spans="1:4">
      <c r="A59" s="33"/>
      <c r="B59" s="30" t="s">
        <v>123</v>
      </c>
      <c r="C59" s="30" t="s">
        <v>124</v>
      </c>
      <c r="D59" s="49"/>
    </row>
    <row r="60" customFormat="1" ht="60" spans="1:4">
      <c r="A60" s="33"/>
      <c r="B60" s="30" t="s">
        <v>125</v>
      </c>
      <c r="C60" s="29" t="s">
        <v>126</v>
      </c>
      <c r="D60" s="49"/>
    </row>
    <row r="61" customFormat="1" ht="36" spans="1:4">
      <c r="A61" s="33"/>
      <c r="B61" s="30" t="s">
        <v>127</v>
      </c>
      <c r="C61" s="30" t="s">
        <v>128</v>
      </c>
      <c r="D61" s="49"/>
    </row>
    <row r="62" customFormat="1" ht="36" spans="1:4">
      <c r="A62" s="33"/>
      <c r="B62" s="30" t="s">
        <v>129</v>
      </c>
      <c r="C62" s="30" t="s">
        <v>130</v>
      </c>
      <c r="D62" s="49"/>
    </row>
    <row r="63" customFormat="1" ht="84" spans="1:4">
      <c r="A63" s="27"/>
      <c r="B63" s="30" t="s">
        <v>131</v>
      </c>
      <c r="C63" s="30" t="s">
        <v>132</v>
      </c>
      <c r="D63" s="49"/>
    </row>
    <row r="64" customFormat="1" ht="55.5" customHeight="1" spans="1:4">
      <c r="A64" s="27" t="s">
        <v>133</v>
      </c>
      <c r="B64" s="30" t="s">
        <v>134</v>
      </c>
      <c r="C64" s="29" t="s">
        <v>135</v>
      </c>
      <c r="D64" s="30"/>
    </row>
    <row r="65" customFormat="1" ht="24" spans="1:4">
      <c r="A65" s="27"/>
      <c r="B65" s="30" t="s">
        <v>136</v>
      </c>
      <c r="C65" s="30" t="s">
        <v>137</v>
      </c>
      <c r="D65" s="49"/>
    </row>
    <row r="66" customFormat="1" spans="1:4">
      <c r="A66" s="27"/>
      <c r="B66" s="30" t="s">
        <v>138</v>
      </c>
      <c r="C66" s="30" t="s">
        <v>139</v>
      </c>
      <c r="D66" s="49"/>
    </row>
    <row r="67" ht="48" spans="1:3">
      <c r="A67" s="50" t="s">
        <v>140</v>
      </c>
      <c r="B67" s="30" t="s">
        <v>141</v>
      </c>
      <c r="C67" s="30" t="s">
        <v>142</v>
      </c>
    </row>
    <row r="68" ht="24" spans="1:3">
      <c r="A68" s="50"/>
      <c r="B68" s="30" t="s">
        <v>143</v>
      </c>
      <c r="C68" s="30" t="s">
        <v>144</v>
      </c>
    </row>
    <row r="69" ht="409.5" customHeight="1" spans="1:3">
      <c r="A69" s="50"/>
      <c r="B69" s="30" t="s">
        <v>145</v>
      </c>
      <c r="C69" s="29" t="s">
        <v>146</v>
      </c>
    </row>
    <row r="70" spans="1:3">
      <c r="A70" s="50"/>
      <c r="B70" s="30" t="s">
        <v>147</v>
      </c>
      <c r="C70" s="29" t="s">
        <v>148</v>
      </c>
    </row>
    <row r="71" ht="60" spans="1:3">
      <c r="A71" s="50"/>
      <c r="B71" s="30" t="s">
        <v>149</v>
      </c>
      <c r="C71" s="30" t="s">
        <v>150</v>
      </c>
    </row>
    <row r="72" spans="1:1">
      <c r="A72" s="51" t="s">
        <v>151</v>
      </c>
    </row>
  </sheetData>
  <sheetProtection formatCells="0" insertHyperlinks="0" autoFilter="0"/>
  <autoFilter xmlns:etc="http://www.wps.cn/officeDocument/2017/etCustomData" ref="A1:D72" etc:filterBottomFollowUsedRange="0">
    <extLst/>
  </autoFilter>
  <mergeCells count="4">
    <mergeCell ref="A4:A5"/>
    <mergeCell ref="A6:A62"/>
    <mergeCell ref="A64:A66"/>
    <mergeCell ref="A67:A71"/>
  </mergeCells>
  <dataValidations count="1">
    <dataValidation type="list" allowBlank="1" sqref="D41:D66">
      <formula1>"是,否"</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4"/>
  <sheetViews>
    <sheetView workbookViewId="0">
      <selection activeCell="B9" sqref="B9:B10"/>
    </sheetView>
  </sheetViews>
  <sheetFormatPr defaultColWidth="8.89" defaultRowHeight="13" outlineLevelCol="6"/>
  <cols>
    <col min="2" max="2" width="50.67" customWidth="1"/>
    <col min="3" max="3" width="10.67" style="1" customWidth="1"/>
    <col min="4" max="4" width="16.11" style="1" customWidth="1"/>
    <col min="5" max="5" width="10.67" style="1" customWidth="1"/>
    <col min="6" max="6" width="9" style="1" customWidth="1"/>
    <col min="7" max="7" width="21.22" style="1" customWidth="1"/>
  </cols>
  <sheetData>
    <row r="1" ht="15" spans="1:7">
      <c r="A1" s="2" t="s">
        <v>152</v>
      </c>
      <c r="B1" s="3" t="s">
        <v>153</v>
      </c>
      <c r="C1" s="2" t="s">
        <v>154</v>
      </c>
      <c r="D1" s="4" t="s">
        <v>155</v>
      </c>
      <c r="E1" s="2" t="s">
        <v>156</v>
      </c>
      <c r="F1" s="4" t="s">
        <v>157</v>
      </c>
      <c r="G1" s="2" t="s">
        <v>158</v>
      </c>
    </row>
    <row r="2" spans="1:7">
      <c r="A2" s="5">
        <v>2014</v>
      </c>
      <c r="B2" s="6" t="s">
        <v>159</v>
      </c>
      <c r="C2" s="7">
        <v>1</v>
      </c>
      <c r="D2" s="8">
        <v>500000</v>
      </c>
      <c r="E2" s="7" t="s">
        <v>160</v>
      </c>
      <c r="F2" s="8">
        <f>500000/12</f>
        <v>41666.6666666667</v>
      </c>
      <c r="G2" s="8">
        <f t="shared" ref="G2:G13" si="0">D2/C2</f>
        <v>500000</v>
      </c>
    </row>
    <row r="3" ht="26" spans="1:7">
      <c r="A3" s="5">
        <v>2015</v>
      </c>
      <c r="B3" s="6" t="s">
        <v>161</v>
      </c>
      <c r="C3" s="7">
        <v>1</v>
      </c>
      <c r="D3" s="8">
        <v>3000000</v>
      </c>
      <c r="E3" s="9">
        <f t="shared" ref="E3:E13" si="1">(D3-D2)/D3</f>
        <v>0.833333333333333</v>
      </c>
      <c r="F3" s="8">
        <f t="shared" ref="F3:F13" si="2">D3/12</f>
        <v>250000</v>
      </c>
      <c r="G3" s="8">
        <f t="shared" si="0"/>
        <v>3000000</v>
      </c>
    </row>
    <row r="4" spans="1:7">
      <c r="A4" s="5">
        <v>2016</v>
      </c>
      <c r="B4" s="6" t="s">
        <v>162</v>
      </c>
      <c r="C4" s="7">
        <v>2</v>
      </c>
      <c r="D4" s="8">
        <v>8000000</v>
      </c>
      <c r="E4" s="9">
        <f t="shared" si="1"/>
        <v>0.625</v>
      </c>
      <c r="F4" s="8">
        <f t="shared" si="2"/>
        <v>666666.666666667</v>
      </c>
      <c r="G4" s="8">
        <f t="shared" si="0"/>
        <v>4000000</v>
      </c>
    </row>
    <row r="5" ht="26" spans="1:7">
      <c r="A5" s="5">
        <v>2017</v>
      </c>
      <c r="B5" s="6" t="s">
        <v>163</v>
      </c>
      <c r="C5" s="7">
        <v>3</v>
      </c>
      <c r="D5" s="8">
        <v>9000000</v>
      </c>
      <c r="E5" s="9">
        <f t="shared" si="1"/>
        <v>0.111111111111111</v>
      </c>
      <c r="F5" s="8">
        <f t="shared" si="2"/>
        <v>750000</v>
      </c>
      <c r="G5" s="8">
        <f t="shared" si="0"/>
        <v>3000000</v>
      </c>
    </row>
    <row r="6" ht="26" spans="1:7">
      <c r="A6" s="10">
        <v>2018</v>
      </c>
      <c r="B6" s="11" t="s">
        <v>164</v>
      </c>
      <c r="C6" s="12">
        <v>3</v>
      </c>
      <c r="D6" s="13">
        <v>10000000</v>
      </c>
      <c r="E6" s="14">
        <f t="shared" si="1"/>
        <v>0.1</v>
      </c>
      <c r="F6" s="13">
        <f t="shared" si="2"/>
        <v>833333.333333333</v>
      </c>
      <c r="G6" s="15">
        <f t="shared" si="0"/>
        <v>3333333.33333333</v>
      </c>
    </row>
    <row r="7" spans="1:7">
      <c r="A7" s="16">
        <v>2019</v>
      </c>
      <c r="B7" s="17" t="s">
        <v>165</v>
      </c>
      <c r="C7" s="12">
        <v>3</v>
      </c>
      <c r="D7" s="13">
        <v>15000000</v>
      </c>
      <c r="E7" s="14">
        <f t="shared" si="1"/>
        <v>0.333333333333333</v>
      </c>
      <c r="F7" s="13">
        <f t="shared" si="2"/>
        <v>1250000</v>
      </c>
      <c r="G7" s="15">
        <f t="shared" si="0"/>
        <v>5000000</v>
      </c>
    </row>
    <row r="8" ht="26" spans="1:7">
      <c r="A8" s="16">
        <v>2020</v>
      </c>
      <c r="B8" s="17" t="s">
        <v>166</v>
      </c>
      <c r="C8" s="12">
        <v>5</v>
      </c>
      <c r="D8" s="13">
        <v>20000000</v>
      </c>
      <c r="E8" s="14">
        <f t="shared" si="1"/>
        <v>0.25</v>
      </c>
      <c r="F8" s="13">
        <f t="shared" si="2"/>
        <v>1666666.66666667</v>
      </c>
      <c r="G8" s="15">
        <f t="shared" si="0"/>
        <v>4000000</v>
      </c>
    </row>
    <row r="9" spans="1:7">
      <c r="A9" s="16">
        <v>2021</v>
      </c>
      <c r="B9" s="17" t="s">
        <v>167</v>
      </c>
      <c r="C9" s="12">
        <v>5</v>
      </c>
      <c r="D9" s="13">
        <v>40000000</v>
      </c>
      <c r="E9" s="14">
        <f t="shared" si="1"/>
        <v>0.5</v>
      </c>
      <c r="F9" s="13">
        <f t="shared" si="2"/>
        <v>3333333.33333333</v>
      </c>
      <c r="G9" s="15">
        <f t="shared" si="0"/>
        <v>8000000</v>
      </c>
    </row>
    <row r="10" spans="1:7">
      <c r="A10" s="16">
        <v>2022</v>
      </c>
      <c r="B10" s="17"/>
      <c r="C10" s="12">
        <v>5</v>
      </c>
      <c r="D10" s="13">
        <v>50000000</v>
      </c>
      <c r="E10" s="14">
        <f t="shared" si="1"/>
        <v>0.2</v>
      </c>
      <c r="F10" s="13">
        <f t="shared" si="2"/>
        <v>4166666.66666667</v>
      </c>
      <c r="G10" s="15">
        <f t="shared" si="0"/>
        <v>10000000</v>
      </c>
    </row>
    <row r="11" ht="26" spans="1:7">
      <c r="A11" s="16">
        <v>2023</v>
      </c>
      <c r="B11" s="17" t="s">
        <v>168</v>
      </c>
      <c r="C11" s="12">
        <v>7</v>
      </c>
      <c r="D11" s="18">
        <v>100000000</v>
      </c>
      <c r="E11" s="14">
        <f t="shared" si="1"/>
        <v>0.5</v>
      </c>
      <c r="F11" s="13">
        <f t="shared" si="2"/>
        <v>8333333.33333333</v>
      </c>
      <c r="G11" s="15">
        <f t="shared" si="0"/>
        <v>14285714.2857143</v>
      </c>
    </row>
    <row r="12" ht="39" spans="1:7">
      <c r="A12" s="16">
        <v>2024</v>
      </c>
      <c r="B12" s="17" t="s">
        <v>169</v>
      </c>
      <c r="C12" s="12">
        <v>9</v>
      </c>
      <c r="D12" s="18">
        <v>120000000</v>
      </c>
      <c r="E12" s="14">
        <f t="shared" si="1"/>
        <v>0.166666666666667</v>
      </c>
      <c r="F12" s="15">
        <f t="shared" si="2"/>
        <v>10000000</v>
      </c>
      <c r="G12" s="15">
        <f t="shared" si="0"/>
        <v>13333333.3333333</v>
      </c>
    </row>
    <row r="13" ht="39" spans="1:7">
      <c r="A13" s="10">
        <v>2025</v>
      </c>
      <c r="B13" s="11" t="s">
        <v>170</v>
      </c>
      <c r="C13" s="12">
        <v>11</v>
      </c>
      <c r="D13" s="18">
        <v>145000000</v>
      </c>
      <c r="E13" s="14">
        <f t="shared" si="1"/>
        <v>0.172413793103448</v>
      </c>
      <c r="F13" s="15">
        <f t="shared" si="2"/>
        <v>12083333.3333333</v>
      </c>
      <c r="G13" s="15">
        <f t="shared" si="0"/>
        <v>13181818.1818182</v>
      </c>
    </row>
    <row r="14" spans="1:6">
      <c r="A14" s="19"/>
      <c r="B14" s="20"/>
      <c r="D14" s="21" t="s">
        <v>171</v>
      </c>
      <c r="E14" s="22">
        <f>AVERAGE(E6:E13)</f>
        <v>0.277801724137931</v>
      </c>
      <c r="F14" s="23"/>
    </row>
  </sheetData>
  <sheetProtection formatCells="0" insertHyperlinks="0" autoFilter="0"/>
  <mergeCells count="1">
    <mergeCell ref="B9:B1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2</vt:i4>
      </vt:variant>
    </vt:vector>
  </HeadingPairs>
  <TitlesOfParts>
    <vt:vector size="2" baseType="lpstr">
      <vt:lpstr>招商答疑QA</vt:lpstr>
      <vt:lpstr>云舟VC历程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揽月</cp:lastModifiedBy>
  <dcterms:created xsi:type="dcterms:W3CDTF">2026-04-16T16:42:00Z</dcterms:created>
  <dcterms:modified xsi:type="dcterms:W3CDTF">2026-06-04T03:15:23Z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952C58961B5B48D7AD712EF5DFF005B0_12</vt:lpwstr>
  </property>
  <property fmtid="{D5CDD505-2E9C-101B-9397-08002B2CF9AE}" pid="3" name="KSOProductBuildVer">
    <vt:lpwstr>2052-12.1.0.20784</vt:lpwstr>
  </property>
  <property fmtid="{D5CDD505-2E9C-101B-9397-08002B2CF9AE}" pid="4" name="CalculationRule">
    <vt:i4>0</vt:i4>
  </property>
</Properties>
</file>