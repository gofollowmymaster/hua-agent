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KPI登记表（示例页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S6" authorId="0">
      <text>
        <r>
          <rPr>
            <sz val="10"/>
            <rFont val="宋体"/>
            <charset val="134"/>
          </rPr>
          <t>新品期后目标实现月销量15%环比的健康增长</t>
        </r>
      </text>
    </comment>
  </commentList>
</comments>
</file>

<file path=xl/sharedStrings.xml><?xml version="1.0" encoding="utf-8"?>
<sst xmlns="http://schemas.openxmlformats.org/spreadsheetml/2006/main" count="61" uniqueCount="60">
  <si>
    <t>基础数据/销售目标</t>
  </si>
  <si>
    <t>推广计划</t>
  </si>
  <si>
    <t>品牌</t>
  </si>
  <si>
    <t>ASIN</t>
  </si>
  <si>
    <t>产品名称</t>
  </si>
  <si>
    <t>业务模式</t>
  </si>
  <si>
    <t>大类</t>
  </si>
  <si>
    <t>小类</t>
  </si>
  <si>
    <t>年月</t>
  </si>
  <si>
    <t>备注</t>
  </si>
  <si>
    <t>目标小类BSR</t>
  </si>
  <si>
    <t>MSRP</t>
  </si>
  <si>
    <t>T90 ASP</t>
  </si>
  <si>
    <t>平台采购价</t>
  </si>
  <si>
    <t>目标月销量</t>
  </si>
  <si>
    <t>目标月销售额
USD</t>
  </si>
  <si>
    <t>实际月末小类BSR</t>
  </si>
  <si>
    <t>实际月销量</t>
  </si>
  <si>
    <t>实际月销售额
USD</t>
  </si>
  <si>
    <t>当月实际ASP</t>
  </si>
  <si>
    <t>目标月采购量
*次月需求量</t>
  </si>
  <si>
    <t>目标月采购额
USD</t>
  </si>
  <si>
    <t>目标采购额环比</t>
  </si>
  <si>
    <t>实际月采购量</t>
  </si>
  <si>
    <t>实际月采购金额
USD</t>
  </si>
  <si>
    <t>实际月接单量</t>
  </si>
  <si>
    <t>实际
月接单金额USD</t>
  </si>
  <si>
    <t>ASIN月度
接单率</t>
  </si>
  <si>
    <t>ASIN月度缺货率</t>
  </si>
  <si>
    <t>每季度
采购金额达成率</t>
  </si>
  <si>
    <t>促销规划</t>
  </si>
  <si>
    <t>总促销预算</t>
  </si>
  <si>
    <t>预估促销销量占比</t>
  </si>
  <si>
    <t>预估促销销量</t>
  </si>
  <si>
    <t>T90促销天数</t>
  </si>
  <si>
    <t>实际促销销量</t>
  </si>
  <si>
    <t>实际促销销售额</t>
  </si>
  <si>
    <t>实际促销销售额占比</t>
  </si>
  <si>
    <t>广告总预算</t>
  </si>
  <si>
    <t>预估广告销量占比</t>
  </si>
  <si>
    <t>预估广告销量</t>
  </si>
  <si>
    <t>实际广告花费</t>
  </si>
  <si>
    <t>实际广告销量</t>
  </si>
  <si>
    <t>实际广告销售额</t>
  </si>
  <si>
    <t>实际广告销售额占比</t>
  </si>
  <si>
    <t>ABCFAN</t>
  </si>
  <si>
    <t>B0DG5NVGK2</t>
  </si>
  <si>
    <t>12000mAh Portable Fan | 18H Long Duration</t>
  </si>
  <si>
    <t>PO</t>
  </si>
  <si>
    <t>Electronics</t>
  </si>
  <si>
    <t>Personal Fans</t>
  </si>
  <si>
    <t>2026-07</t>
  </si>
  <si>
    <t>/</t>
  </si>
  <si>
    <t>2026-08</t>
  </si>
  <si>
    <t>BD 15-20天</t>
  </si>
  <si>
    <t>（原价-BD价格）*促销销量</t>
  </si>
  <si>
    <t>$</t>
  </si>
  <si>
    <t>2026-09</t>
  </si>
  <si>
    <t>2026-10</t>
  </si>
  <si>
    <t>2026-11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</si>
</sst>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 "/>
    <numFmt numFmtId="178" formatCode="\$#,##0;\-\$#,##0"/>
  </numFmts>
  <fonts count="29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color rgb="FFF54A45"/>
      <name val="等线"/>
      <charset val="134"/>
      <scheme val="minor"/>
    </font>
    <font>
      <b/>
      <sz val="11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b/>
      <sz val="10"/>
      <color rgb="FF1A3AFC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7CC6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  <xf numFmtId="178" fontId="4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 wrapText="1"/>
    </xf>
    <xf numFmtId="176" fontId="5" fillId="4" borderId="6" xfId="0" applyNumberFormat="1" applyFont="1" applyFill="1" applyBorder="1" applyAlignment="1">
      <alignment horizontal="center" vertical="center" wrapText="1"/>
    </xf>
    <xf numFmtId="178" fontId="5" fillId="4" borderId="6" xfId="0" applyNumberFormat="1" applyFont="1" applyFill="1" applyBorder="1" applyAlignment="1">
      <alignment horizontal="center" vertical="center" wrapText="1"/>
    </xf>
    <xf numFmtId="177" fontId="5" fillId="4" borderId="6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 wrapText="1"/>
    </xf>
    <xf numFmtId="1" fontId="5" fillId="4" borderId="6" xfId="0" applyNumberFormat="1" applyFont="1" applyFill="1" applyBorder="1" applyAlignment="1">
      <alignment horizontal="center" vertical="center" wrapText="1"/>
    </xf>
    <xf numFmtId="176" fontId="6" fillId="4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78" fontId="7" fillId="4" borderId="6" xfId="0" applyNumberFormat="1" applyFont="1" applyFill="1" applyBorder="1" applyAlignment="1">
      <alignment horizontal="center" vertical="center" wrapText="1"/>
    </xf>
    <xf numFmtId="177" fontId="7" fillId="4" borderId="6" xfId="0" applyNumberFormat="1" applyFont="1" applyFill="1" applyBorder="1" applyAlignment="1">
      <alignment horizontal="center" vertical="center" wrapText="1"/>
    </xf>
    <xf numFmtId="176" fontId="7" fillId="4" borderId="6" xfId="0" applyNumberFormat="1" applyFont="1" applyFill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4" borderId="6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Q13"/>
  <sheetViews>
    <sheetView tabSelected="1" topLeftCell="D1" workbookViewId="0">
      <selection activeCell="M5" sqref="M5"/>
    </sheetView>
  </sheetViews>
  <sheetFormatPr defaultColWidth="14" defaultRowHeight="13"/>
  <cols>
    <col min="5" max="5" width="14" customWidth="1"/>
    <col min="8" max="8" width="37.4454545454545" customWidth="1"/>
    <col min="11" max="11" width="14" customWidth="1"/>
    <col min="15" max="18" width="14" hidden="1" customWidth="1"/>
    <col min="22" max="24" width="14" hidden="1" customWidth="1"/>
    <col min="25" max="25" width="16" hidden="1" customWidth="1"/>
    <col min="26" max="26" width="14" hidden="1" customWidth="1"/>
    <col min="27" max="28" width="16" hidden="1" customWidth="1"/>
    <col min="30" max="30" width="14" customWidth="1"/>
    <col min="32" max="32" width="14" customWidth="1"/>
    <col min="33" max="36" width="14" hidden="1" customWidth="1"/>
    <col min="39" max="39" width="14" customWidth="1"/>
    <col min="40" max="43" width="14" hidden="1" customWidth="1"/>
  </cols>
  <sheetData>
    <row r="1" ht="19" customHeight="1" spans="1:4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1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42" spans="1:43">
      <c r="A2" s="2" t="s">
        <v>2</v>
      </c>
      <c r="B2" s="2" t="s">
        <v>3</v>
      </c>
      <c r="C2" s="2" t="s">
        <v>4</v>
      </c>
      <c r="D2" s="3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5" t="s">
        <v>10</v>
      </c>
      <c r="J2" s="6" t="s">
        <v>11</v>
      </c>
      <c r="K2" s="6" t="s">
        <v>12</v>
      </c>
      <c r="L2" s="6" t="s">
        <v>13</v>
      </c>
      <c r="M2" s="2" t="s">
        <v>14</v>
      </c>
      <c r="N2" s="7" t="s">
        <v>15</v>
      </c>
      <c r="O2" s="8" t="s">
        <v>16</v>
      </c>
      <c r="P2" s="8" t="s">
        <v>17</v>
      </c>
      <c r="Q2" s="9" t="s">
        <v>18</v>
      </c>
      <c r="R2" s="9" t="s">
        <v>19</v>
      </c>
      <c r="S2" s="2" t="s">
        <v>20</v>
      </c>
      <c r="T2" s="10" t="s">
        <v>21</v>
      </c>
      <c r="U2" s="2" t="s">
        <v>22</v>
      </c>
      <c r="V2" s="8" t="s">
        <v>23</v>
      </c>
      <c r="W2" s="11" t="s">
        <v>24</v>
      </c>
      <c r="X2" s="12" t="s">
        <v>25</v>
      </c>
      <c r="Y2" s="13" t="s">
        <v>26</v>
      </c>
      <c r="Z2" s="13" t="s">
        <v>27</v>
      </c>
      <c r="AA2" s="14" t="s">
        <v>28</v>
      </c>
      <c r="AB2" s="14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8" t="s">
        <v>34</v>
      </c>
      <c r="AH2" s="8" t="s">
        <v>35</v>
      </c>
      <c r="AI2" s="8" t="s">
        <v>36</v>
      </c>
      <c r="AJ2" s="15" t="s">
        <v>37</v>
      </c>
      <c r="AK2" s="2" t="s">
        <v>38</v>
      </c>
      <c r="AL2" s="2" t="s">
        <v>39</v>
      </c>
      <c r="AM2" s="2" t="s">
        <v>40</v>
      </c>
      <c r="AN2" s="8" t="s">
        <v>41</v>
      </c>
      <c r="AO2" s="8" t="s">
        <v>42</v>
      </c>
      <c r="AP2" s="15" t="s">
        <v>43</v>
      </c>
      <c r="AQ2" s="15" t="s">
        <v>44</v>
      </c>
    </row>
    <row r="3" ht="52" customHeight="1" spans="1:43">
      <c r="A3" s="16" t="s">
        <v>45</v>
      </c>
      <c r="B3" s="16" t="s">
        <v>46</v>
      </c>
      <c r="C3" s="16" t="s">
        <v>47</v>
      </c>
      <c r="D3" s="16" t="s">
        <v>48</v>
      </c>
      <c r="E3" s="17" t="s">
        <v>49</v>
      </c>
      <c r="F3" s="17" t="s">
        <v>50</v>
      </c>
      <c r="G3" s="31" t="s">
        <v>51</v>
      </c>
      <c r="H3" s="17"/>
      <c r="I3" s="17">
        <v>5</v>
      </c>
      <c r="J3" s="19"/>
      <c r="K3" s="19">
        <v>23</v>
      </c>
      <c r="L3" s="19"/>
      <c r="M3" s="17"/>
      <c r="N3" s="20"/>
      <c r="O3" s="21"/>
      <c r="P3" s="21"/>
      <c r="Q3" s="19"/>
      <c r="R3" s="19"/>
      <c r="S3" s="17">
        <f>M4</f>
        <v>0</v>
      </c>
      <c r="T3" s="20">
        <f>S3*L3</f>
        <v>0</v>
      </c>
      <c r="U3" s="22" t="s">
        <v>52</v>
      </c>
      <c r="V3" s="21"/>
      <c r="W3" s="20"/>
      <c r="X3" s="21"/>
      <c r="Y3" s="19"/>
      <c r="Z3" s="22"/>
      <c r="AA3" s="22"/>
      <c r="AB3" s="22" t="e">
        <f>SUM(Y3:Y5)/SUM(T3:T5)</f>
        <v>#DIV/0!</v>
      </c>
      <c r="AC3" s="17" t="s">
        <v>52</v>
      </c>
      <c r="AD3" s="22"/>
      <c r="AE3" s="22"/>
      <c r="AF3" s="21"/>
      <c r="AG3" s="21"/>
      <c r="AH3" s="21"/>
      <c r="AI3" s="21"/>
      <c r="AJ3" s="22"/>
      <c r="AK3" s="17"/>
      <c r="AL3" s="22"/>
      <c r="AM3" s="21"/>
      <c r="AN3" s="21"/>
      <c r="AO3" s="21"/>
      <c r="AP3" s="22"/>
      <c r="AQ3" s="22"/>
    </row>
    <row r="4" ht="52" customHeight="1" spans="1:43">
      <c r="A4" s="16"/>
      <c r="B4" s="16"/>
      <c r="C4" s="16"/>
      <c r="D4" s="16"/>
      <c r="E4" s="17"/>
      <c r="F4" s="17"/>
      <c r="G4" s="31" t="s">
        <v>53</v>
      </c>
      <c r="H4" s="17"/>
      <c r="I4" s="17">
        <v>4</v>
      </c>
      <c r="J4" s="19"/>
      <c r="K4" s="19">
        <v>22.5</v>
      </c>
      <c r="L4" s="19"/>
      <c r="M4" s="17"/>
      <c r="N4" s="20"/>
      <c r="O4" s="21"/>
      <c r="P4" s="21"/>
      <c r="Q4" s="19"/>
      <c r="R4" s="19"/>
      <c r="S4" s="17">
        <f>M5</f>
        <v>8000</v>
      </c>
      <c r="T4" s="20">
        <f>S4*L4</f>
        <v>0</v>
      </c>
      <c r="U4" s="22" t="e">
        <f>(T4-T3)/T3</f>
        <v>#DIV/0!</v>
      </c>
      <c r="V4" s="21"/>
      <c r="W4" s="20"/>
      <c r="X4" s="21"/>
      <c r="Y4" s="19"/>
      <c r="Z4" s="22"/>
      <c r="AA4" s="22"/>
      <c r="AB4" s="22"/>
      <c r="AC4" s="17" t="s">
        <v>54</v>
      </c>
      <c r="AD4" s="23" t="s">
        <v>55</v>
      </c>
      <c r="AE4" s="22">
        <v>0.6</v>
      </c>
      <c r="AF4" s="21">
        <v>4800</v>
      </c>
      <c r="AG4" s="21"/>
      <c r="AH4" s="21"/>
      <c r="AI4" s="21"/>
      <c r="AJ4" s="22"/>
      <c r="AK4" s="22" t="s">
        <v>56</v>
      </c>
      <c r="AL4" s="22">
        <v>0.3</v>
      </c>
      <c r="AM4" s="21"/>
      <c r="AN4" s="21"/>
      <c r="AO4" s="21"/>
      <c r="AP4" s="22"/>
      <c r="AQ4" s="22"/>
    </row>
    <row r="5" ht="52" customHeight="1" spans="1:43">
      <c r="A5" s="16"/>
      <c r="B5" s="16"/>
      <c r="C5" s="16"/>
      <c r="D5" s="16"/>
      <c r="E5" s="17"/>
      <c r="F5" s="17"/>
      <c r="G5" s="31" t="s">
        <v>57</v>
      </c>
      <c r="H5" s="17"/>
      <c r="I5" s="17">
        <v>4</v>
      </c>
      <c r="J5" s="19"/>
      <c r="K5" s="19">
        <v>22.5</v>
      </c>
      <c r="L5" s="19"/>
      <c r="M5" s="17">
        <v>8000</v>
      </c>
      <c r="N5" s="20"/>
      <c r="O5" s="21"/>
      <c r="P5" s="21"/>
      <c r="Q5" s="19"/>
      <c r="R5" s="19"/>
      <c r="S5" s="17">
        <f>M6</f>
        <v>0</v>
      </c>
      <c r="T5" s="20">
        <f>S5*L5</f>
        <v>0</v>
      </c>
      <c r="U5" s="22" t="e">
        <f>(T5-T4)/T4</f>
        <v>#DIV/0!</v>
      </c>
      <c r="V5" s="21"/>
      <c r="W5" s="20"/>
      <c r="X5" s="21"/>
      <c r="Y5" s="19"/>
      <c r="Z5" s="22"/>
      <c r="AA5" s="22"/>
      <c r="AB5" s="22"/>
      <c r="AC5" s="17"/>
      <c r="AD5" s="23"/>
      <c r="AE5" s="22"/>
      <c r="AF5" s="21"/>
      <c r="AG5" s="21"/>
      <c r="AH5" s="21"/>
      <c r="AI5" s="21"/>
      <c r="AJ5" s="22"/>
      <c r="AK5" s="17"/>
      <c r="AL5" s="22"/>
      <c r="AM5" s="21"/>
      <c r="AN5" s="21"/>
      <c r="AO5" s="21"/>
      <c r="AP5" s="17"/>
      <c r="AQ5" s="17"/>
    </row>
    <row r="6" ht="52" customHeight="1" spans="1:43">
      <c r="A6" s="16"/>
      <c r="B6" s="16"/>
      <c r="C6" s="16"/>
      <c r="D6" s="16"/>
      <c r="E6" s="17"/>
      <c r="F6" s="17"/>
      <c r="G6" s="31" t="s">
        <v>58</v>
      </c>
      <c r="H6" s="17"/>
      <c r="I6" s="17"/>
      <c r="J6" s="24"/>
      <c r="K6" s="24">
        <v>22.5</v>
      </c>
      <c r="L6" s="24"/>
      <c r="M6" s="17"/>
      <c r="N6" s="20"/>
      <c r="O6" s="21"/>
      <c r="P6" s="21"/>
      <c r="Q6" s="19"/>
      <c r="R6" s="19"/>
      <c r="S6" s="17">
        <f>S5*1.15</f>
        <v>0</v>
      </c>
      <c r="T6" s="20">
        <f>S6*L6</f>
        <v>0</v>
      </c>
      <c r="U6" s="22" t="e">
        <f>(T6-T5)/T5</f>
        <v>#DIV/0!</v>
      </c>
      <c r="V6" s="21"/>
      <c r="W6" s="20"/>
      <c r="X6" s="21"/>
      <c r="Y6" s="19"/>
      <c r="Z6" s="22"/>
      <c r="AA6" s="22"/>
      <c r="AB6" s="22"/>
      <c r="AC6" s="17"/>
      <c r="AD6" s="23"/>
      <c r="AE6" s="22"/>
      <c r="AF6" s="21"/>
      <c r="AG6" s="21"/>
      <c r="AH6" s="21"/>
      <c r="AI6" s="21"/>
      <c r="AJ6" s="22"/>
      <c r="AK6" s="17"/>
      <c r="AL6" s="22"/>
      <c r="AM6" s="21"/>
      <c r="AN6" s="21"/>
      <c r="AO6" s="21"/>
      <c r="AP6" s="17"/>
      <c r="AQ6" s="17"/>
    </row>
    <row r="7" spans="1:43">
      <c r="A7" s="16"/>
      <c r="B7" s="16"/>
      <c r="C7" s="16"/>
      <c r="D7" s="16"/>
      <c r="E7" s="17"/>
      <c r="F7" s="17"/>
      <c r="G7" s="31" t="s">
        <v>59</v>
      </c>
      <c r="H7" s="25"/>
      <c r="I7" s="25">
        <v>3</v>
      </c>
      <c r="J7" s="19"/>
      <c r="K7" s="19">
        <v>22</v>
      </c>
      <c r="L7" s="19"/>
      <c r="M7" s="25">
        <v>13000</v>
      </c>
      <c r="N7" s="26">
        <f>SUM(N4:N6)</f>
        <v>0</v>
      </c>
      <c r="O7" s="27" t="e">
        <f>AVERAGE(O4:O6)</f>
        <v>#DIV/0!</v>
      </c>
      <c r="P7" s="27">
        <f>SUM(P4:P6)</f>
        <v>0</v>
      </c>
      <c r="Q7" s="26">
        <f>SUM(Q4:Q6)</f>
        <v>0</v>
      </c>
      <c r="R7" s="28" t="e">
        <f>Q7/P7</f>
        <v>#DIV/0!</v>
      </c>
      <c r="S7" s="27">
        <f>SUM(S4:S6)</f>
        <v>8000</v>
      </c>
      <c r="T7" s="26">
        <f>SUM(T4:T6)</f>
        <v>0</v>
      </c>
      <c r="U7" s="29" t="e">
        <f>AVERAGE(U4:U6)</f>
        <v>#DIV/0!</v>
      </c>
      <c r="V7" s="27">
        <f>SUM(V4:V6)</f>
        <v>0</v>
      </c>
      <c r="W7" s="26">
        <f>SUM(W4:W6)</f>
        <v>0</v>
      </c>
      <c r="X7" s="27">
        <f>SUM(X4:X6)</f>
        <v>0</v>
      </c>
      <c r="Y7" s="26">
        <f>SUM(Y4:Y6)</f>
        <v>0</v>
      </c>
      <c r="Z7" s="29"/>
      <c r="AA7" s="29"/>
      <c r="AB7" s="29"/>
      <c r="AC7" s="25"/>
      <c r="AD7" s="29"/>
      <c r="AE7" s="29">
        <v>0.9</v>
      </c>
      <c r="AF7" s="27"/>
      <c r="AG7" s="27"/>
      <c r="AH7" s="27"/>
      <c r="AI7" s="27">
        <f>SUM(AI4:AI6)</f>
        <v>0</v>
      </c>
      <c r="AJ7" s="29" t="e">
        <f>AI7/P7</f>
        <v>#DIV/0!</v>
      </c>
      <c r="AK7" s="25"/>
      <c r="AL7" s="25"/>
      <c r="AM7" s="27"/>
      <c r="AN7" s="27"/>
      <c r="AO7" s="27">
        <f>SUM(AO4:AO6)</f>
        <v>0</v>
      </c>
      <c r="AP7" s="25"/>
      <c r="AQ7" s="25"/>
    </row>
    <row r="10" spans="1:43">
      <c r="A10" s="30"/>
    </row>
    <row r="11" spans="1:43">
      <c r="A11" s="30"/>
    </row>
    <row r="12" spans="1:43">
      <c r="A12" s="30"/>
    </row>
    <row r="13" spans="1:43">
      <c r="A13" s="30"/>
    </row>
  </sheetData>
  <mergeCells count="9">
    <mergeCell ref="A1:AB1"/>
    <mergeCell ref="AC1:AQ1"/>
    <mergeCell ref="A3:A7"/>
    <mergeCell ref="B3:B7"/>
    <mergeCell ref="C3:C7"/>
    <mergeCell ref="D3:D7"/>
    <mergeCell ref="E3:E7"/>
    <mergeCell ref="F3:F7"/>
    <mergeCell ref="AB3:AB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KPI登记表（示例页）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甘坤凡</cp:lastModifiedBy>
  <dcterms:created xsi:type="dcterms:W3CDTF">2026-04-15T05:34:00Z</dcterms:created>
  <dcterms:modified xsi:type="dcterms:W3CDTF">2026-06-04T05:36:49Z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64A1EFB104D343969EF48AA2C7702AD8_13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