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云舟VC核价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HP</author>
  </authors>
  <commentList>
    <comment ref="C4" authorId="0">
      <text>
        <r>
          <rPr>
            <sz val="9"/>
            <rFont val="宋体"/>
            <charset val="134"/>
          </rPr>
          <t>SC后台&gt;业务报告 Business Report&gt;销售控制面板&gt;截图过去12个月的趋势图+总数据</t>
        </r>
      </text>
    </comment>
    <comment ref="E4" authorId="0">
      <text>
        <r>
          <rPr>
            <sz val="9"/>
            <rFont val="宋体"/>
            <charset val="134"/>
          </rPr>
          <t>登录品牌注册官网https://brandregistry.amazon.com&gt;manage selling roles或 manage protect roles  的截图</t>
        </r>
      </text>
    </comment>
    <comment ref="H4" authorId="0">
      <text>
        <r>
          <rPr>
            <sz val="9"/>
            <rFont val="宋体"/>
            <charset val="134"/>
          </rPr>
          <t>指您的listing rating等级，如 4.0 / 4.3 / 4.8 / 5.0</t>
        </r>
      </text>
    </comment>
    <comment ref="J4" authorId="1">
      <text>
        <r>
          <rPr>
            <sz val="9"/>
            <rFont val="宋体"/>
            <charset val="134"/>
          </rPr>
          <t>指目标入驻的</t>
        </r>
        <r>
          <rPr>
            <b/>
            <sz val="9"/>
            <rFont val="宋体"/>
            <charset val="134"/>
          </rPr>
          <t>ASIN及其父ASIN</t>
        </r>
        <r>
          <rPr>
            <sz val="9"/>
            <rFont val="宋体"/>
            <charset val="134"/>
          </rPr>
          <t>是否有VC销售历史</t>
        </r>
      </text>
    </comment>
    <comment ref="M4" authorId="1">
      <text>
        <r>
          <rPr>
            <sz val="9"/>
            <rFont val="宋体"/>
            <charset val="134"/>
          </rPr>
          <t>若存在虚报数据，在后续VC运营中发现实际退货率长期高于预报数据，可能产生退货或者罚款</t>
        </r>
      </text>
    </comment>
    <comment ref="N4" authorId="0">
      <text>
        <r>
          <rPr>
            <sz val="9"/>
            <rFont val="宋体"/>
            <charset val="134"/>
          </rPr>
          <t>SC后台&gt;订单&gt;洞察与机遇&gt;时间段选择180天，检索SKU，页面截图</t>
        </r>
      </text>
    </comment>
    <comment ref="S4" authorId="0">
      <text>
        <r>
          <rPr>
            <sz val="9"/>
            <rFont val="宋体"/>
            <charset val="134"/>
          </rPr>
          <t>SC后台&gt;业务报告 Business Report&gt; 子ASIN视图-时间范围近30天-勾选子ASIN、已订购商品数量、已订购商品销售额、退款率</t>
        </r>
      </text>
    </comment>
    <comment ref="AJ4" authorId="1">
      <text>
        <r>
          <rPr>
            <sz val="9"/>
            <rFont val="宋体"/>
            <charset val="134"/>
          </rPr>
          <t xml:space="preserve">填写您期望云舟跨境给贵司的产品采购价格，云舟报价团队会评估这一期望价格的合理性并给出最终报价
</t>
        </r>
      </text>
    </comment>
    <comment ref="AK4" authorId="1">
      <text>
        <r>
          <rPr>
            <sz val="9"/>
            <rFont val="宋体"/>
            <charset val="134"/>
          </rPr>
          <t xml:space="preserve">云舟运营报价团队给贵司的报价（无需贵司填写）
</t>
        </r>
      </text>
    </comment>
  </commentList>
</comments>
</file>

<file path=xl/sharedStrings.xml><?xml version="1.0" encoding="utf-8"?>
<sst xmlns="http://schemas.openxmlformats.org/spreadsheetml/2006/main" count="57" uniqueCount="56">
  <si>
    <t>注：标“*”为必填项，请如实登记您的品牌和ASIN信息，确保产品定价合理、以及提供的各项数据真实可信，以获取更准确的采购报价</t>
  </si>
  <si>
    <t>* 插入的图片需调整为浮动格式，涉及SC后台的截图需保留电脑桌面右下角时间戳 和 SC店铺的网址栏内容，其余无关敏感信息可适当打码</t>
  </si>
  <si>
    <t>*品牌</t>
  </si>
  <si>
    <t>*产品信息</t>
  </si>
  <si>
    <t>*SC经营情况</t>
  </si>
  <si>
    <t>*产品包装</t>
  </si>
  <si>
    <t>*库存情况</t>
  </si>
  <si>
    <t>*VC报价</t>
  </si>
  <si>
    <t>*品牌
月销售额 $</t>
  </si>
  <si>
    <t>*过去12个月品牌月销售额截图</t>
  </si>
  <si>
    <t>* 是否有授权过VC</t>
  </si>
  <si>
    <t>*品牌注册官网品牌授权页面截图</t>
  </si>
  <si>
    <t>*产品名称</t>
  </si>
  <si>
    <t>*ASIN</t>
  </si>
  <si>
    <t>*评分等级</t>
  </si>
  <si>
    <t>*BS大类</t>
  </si>
  <si>
    <t>*有无VC跟卖或销售历史</t>
  </si>
  <si>
    <t>*SC MSRP</t>
  </si>
  <si>
    <t>*SC佣金（%）</t>
  </si>
  <si>
    <t>*SC退货率（%）</t>
  </si>
  <si>
    <t>*SC退货率截图</t>
  </si>
  <si>
    <t>*SC尾程运费(USD)</t>
  </si>
  <si>
    <t>SC成本占比（%）</t>
  </si>
  <si>
    <t>*月销量</t>
  </si>
  <si>
    <t>*月销售额（USD）</t>
  </si>
  <si>
    <t>* 近30天ASIN月销售额业绩截图
（ASIN/销量/销售额/退款率）</t>
  </si>
  <si>
    <r>
      <rPr>
        <b/>
        <sz val="11"/>
        <rFont val="宋体"/>
        <charset val="134"/>
        <scheme val="minor"/>
      </rPr>
      <t xml:space="preserve">*装箱数量
</t>
    </r>
    <r>
      <rPr>
        <b/>
        <sz val="8"/>
        <rFont val="宋体"/>
        <charset val="134"/>
        <scheme val="minor"/>
      </rPr>
      <t>（最高可填250）</t>
    </r>
  </si>
  <si>
    <t>*外箱长/inch</t>
  </si>
  <si>
    <t>*外箱宽/inch</t>
  </si>
  <si>
    <t>*外箱高/inch</t>
  </si>
  <si>
    <t>*毛重 / lb</t>
  </si>
  <si>
    <t>*SC FBA 剩余库存</t>
  </si>
  <si>
    <t>*预估FBA库存可售天数</t>
  </si>
  <si>
    <t>*海外仓可用库存量</t>
  </si>
  <si>
    <t>*海外仓数量</t>
  </si>
  <si>
    <t>*海外仓地区分布</t>
  </si>
  <si>
    <t>*是否可打托发货</t>
  </si>
  <si>
    <t>*托盘承载箱数</t>
  </si>
  <si>
    <t>目标月销量</t>
  </si>
  <si>
    <t>目标月销售额（USD）</t>
  </si>
  <si>
    <t>*目标业务模式
(下拉选择）</t>
  </si>
  <si>
    <t>*VC MSRP
(USD)</t>
  </si>
  <si>
    <t>期望云舟报价（USD)</t>
  </si>
  <si>
    <t>实际云舟采购报价（USD）</t>
  </si>
  <si>
    <t>采购折扣 %</t>
  </si>
  <si>
    <t>备注</t>
  </si>
  <si>
    <t>BRDS</t>
  </si>
  <si>
    <t>否</t>
  </si>
  <si>
    <t>榨汁机</t>
  </si>
  <si>
    <t>B01HHHSX0L</t>
  </si>
  <si>
    <t>Home &amp; Kitchen</t>
  </si>
  <si>
    <t>无</t>
  </si>
  <si>
    <t>美西3，美东2，美南1</t>
  </si>
  <si>
    <t>是</t>
  </si>
  <si>
    <t>PO+DF，PO为主</t>
  </si>
  <si>
    <t>请提前准备产品资质证明文件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</si>
</sst>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.0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i/>
      <sz val="11"/>
      <color theme="4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/>
    </xf>
    <xf numFmtId="176" fontId="2" fillId="8" borderId="1" xfId="0" applyNumberFormat="1" applyFont="1" applyFill="1" applyBorder="1" applyAlignment="1" applyProtection="1">
      <alignment horizontal="center" vertical="center"/>
    </xf>
    <xf numFmtId="10" fontId="2" fillId="8" borderId="1" xfId="0" applyNumberFormat="1" applyFont="1" applyFill="1" applyBorder="1" applyAlignment="1" applyProtection="1">
      <alignment horizontal="center" vertical="center"/>
    </xf>
    <xf numFmtId="177" fontId="2" fillId="8" borderId="1" xfId="0" applyNumberFormat="1" applyFont="1" applyFill="1" applyBorder="1" applyAlignment="1" applyProtection="1">
      <alignment horizontal="center" vertical="center"/>
    </xf>
    <xf numFmtId="9" fontId="2" fillId="8" borderId="1" xfId="3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7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F8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4"/>
  <sheetViews>
    <sheetView tabSelected="1" zoomScale="115" zoomScaleNormal="115" workbookViewId="0">
      <pane xSplit="7" ySplit="4" topLeftCell="T5" activePane="bottomRight" state="frozen"/>
      <selection/>
      <selection pane="topRight"/>
      <selection pane="bottomLeft"/>
      <selection pane="bottomRight" activeCell="N4" sqref="N4"/>
    </sheetView>
  </sheetViews>
  <sheetFormatPr defaultColWidth="8.89090909090909" defaultRowHeight="14"/>
  <cols>
    <col min="2" max="3" width="13.6636363636364" style="3" customWidth="1"/>
    <col min="4" max="6" width="13.6636363636364" customWidth="1"/>
    <col min="7" max="8" width="13.5545454545455" customWidth="1"/>
    <col min="9" max="9" width="16.8909090909091" customWidth="1"/>
    <col min="10" max="10" width="14.4454545454545" customWidth="1"/>
    <col min="11" max="11" width="11" customWidth="1"/>
    <col min="12" max="13" width="11.8909090909091" customWidth="1"/>
    <col min="14" max="14" width="17.8909090909091" customWidth="1"/>
    <col min="15" max="15" width="11.8909090909091" customWidth="1"/>
    <col min="16" max="18" width="10.3363636363636" customWidth="1"/>
    <col min="19" max="19" width="38.3363636363636" customWidth="1"/>
    <col min="20" max="20" width="16.2181818181818" customWidth="1"/>
    <col min="21" max="24" width="12.6636363636364" customWidth="1"/>
    <col min="25" max="25" width="12.5545454545455" customWidth="1"/>
    <col min="26" max="26" width="13.1090909090909" customWidth="1"/>
    <col min="27" max="28" width="12.6636363636364" customWidth="1"/>
    <col min="29" max="29" width="24.5545454545455" customWidth="1"/>
    <col min="30" max="31" width="12.6636363636364" customWidth="1"/>
    <col min="32" max="32" width="12.3363636363636" customWidth="1"/>
    <col min="33" max="33" width="14.4454545454545" customWidth="1"/>
    <col min="34" max="34" width="20.7818181818182" customWidth="1"/>
    <col min="35" max="35" width="9.66363636363636" customWidth="1"/>
    <col min="36" max="36" width="15.5545454545455" style="4" customWidth="1"/>
    <col min="37" max="37" width="13.7818181818182" style="4" customWidth="1"/>
    <col min="38" max="38" width="11.4454545454545" customWidth="1"/>
    <col min="39" max="39" width="31.8909090909091" customWidth="1"/>
  </cols>
  <sheetData>
    <row r="1" ht="17.5" spans="1:39">
      <c r="A1" s="5" t="s">
        <v>0</v>
      </c>
      <c r="B1" s="6"/>
      <c r="C1" s="6"/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  <c r="AK1" s="8"/>
      <c r="AL1" s="7"/>
    </row>
    <row r="2" customFormat="1" ht="17.5" spans="1:39">
      <c r="A2" s="5" t="s">
        <v>1</v>
      </c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  <c r="AK2" s="8"/>
      <c r="AL2" s="7"/>
    </row>
    <row r="3" s="1" customFormat="1" spans="1:39">
      <c r="A3" s="9" t="s">
        <v>2</v>
      </c>
      <c r="B3" s="9"/>
      <c r="C3" s="9"/>
      <c r="D3" s="9"/>
      <c r="E3" s="9"/>
      <c r="F3" s="10" t="s">
        <v>3</v>
      </c>
      <c r="G3" s="10"/>
      <c r="H3" s="10"/>
      <c r="I3" s="10"/>
      <c r="J3" s="11"/>
      <c r="K3" s="12" t="s">
        <v>4</v>
      </c>
      <c r="L3" s="13"/>
      <c r="M3" s="13"/>
      <c r="N3" s="13"/>
      <c r="O3" s="13"/>
      <c r="P3" s="13"/>
      <c r="Q3" s="13"/>
      <c r="R3" s="13"/>
      <c r="S3" s="14"/>
      <c r="T3" s="15" t="s">
        <v>5</v>
      </c>
      <c r="U3" s="15"/>
      <c r="V3" s="15"/>
      <c r="W3" s="15"/>
      <c r="X3" s="15"/>
      <c r="Y3" s="16" t="s">
        <v>6</v>
      </c>
      <c r="Z3" s="17"/>
      <c r="AA3" s="17"/>
      <c r="AB3" s="17"/>
      <c r="AC3" s="17"/>
      <c r="AD3" s="17"/>
      <c r="AE3" s="18"/>
      <c r="AF3" s="19" t="s">
        <v>7</v>
      </c>
      <c r="AG3" s="19"/>
      <c r="AH3" s="19"/>
      <c r="AI3" s="19"/>
      <c r="AJ3" s="19"/>
      <c r="AK3" s="19"/>
      <c r="AL3" s="19"/>
      <c r="AM3" s="19"/>
    </row>
    <row r="4" s="1" customFormat="1" ht="42" spans="1:39">
      <c r="A4" s="20" t="s">
        <v>2</v>
      </c>
      <c r="B4" s="20" t="s">
        <v>8</v>
      </c>
      <c r="C4" s="21" t="s">
        <v>9</v>
      </c>
      <c r="D4" s="20" t="s">
        <v>10</v>
      </c>
      <c r="E4" s="21" t="s">
        <v>11</v>
      </c>
      <c r="F4" s="22" t="s">
        <v>12</v>
      </c>
      <c r="G4" s="23" t="s">
        <v>13</v>
      </c>
      <c r="H4" s="23" t="s">
        <v>14</v>
      </c>
      <c r="I4" s="23" t="s">
        <v>15</v>
      </c>
      <c r="J4" s="23" t="s">
        <v>16</v>
      </c>
      <c r="K4" s="24" t="s">
        <v>17</v>
      </c>
      <c r="L4" s="24" t="s">
        <v>18</v>
      </c>
      <c r="M4" s="24" t="s">
        <v>19</v>
      </c>
      <c r="N4" s="25" t="s">
        <v>20</v>
      </c>
      <c r="O4" s="24" t="s">
        <v>21</v>
      </c>
      <c r="P4" s="24" t="s">
        <v>22</v>
      </c>
      <c r="Q4" s="24" t="s">
        <v>23</v>
      </c>
      <c r="R4" s="24" t="s">
        <v>24</v>
      </c>
      <c r="S4" s="25" t="s">
        <v>25</v>
      </c>
      <c r="T4" s="26" t="s">
        <v>26</v>
      </c>
      <c r="U4" s="26" t="s">
        <v>27</v>
      </c>
      <c r="V4" s="26" t="s">
        <v>28</v>
      </c>
      <c r="W4" s="26" t="s">
        <v>29</v>
      </c>
      <c r="X4" s="26" t="s">
        <v>30</v>
      </c>
      <c r="Y4" s="27" t="s">
        <v>31</v>
      </c>
      <c r="Z4" s="27" t="s">
        <v>32</v>
      </c>
      <c r="AA4" s="27" t="s">
        <v>33</v>
      </c>
      <c r="AB4" s="27" t="s">
        <v>34</v>
      </c>
      <c r="AC4" s="27" t="s">
        <v>35</v>
      </c>
      <c r="AD4" s="27" t="s">
        <v>36</v>
      </c>
      <c r="AE4" s="27" t="s">
        <v>37</v>
      </c>
      <c r="AF4" s="28" t="s">
        <v>38</v>
      </c>
      <c r="AG4" s="28" t="s">
        <v>39</v>
      </c>
      <c r="AH4" s="29" t="s">
        <v>40</v>
      </c>
      <c r="AI4" s="29" t="s">
        <v>41</v>
      </c>
      <c r="AJ4" s="30" t="s">
        <v>42</v>
      </c>
      <c r="AK4" s="31" t="s">
        <v>43</v>
      </c>
      <c r="AL4" s="28" t="s">
        <v>44</v>
      </c>
      <c r="AM4" s="28" t="s">
        <v>45</v>
      </c>
    </row>
    <row r="5" s="2" customFormat="1" spans="1:39">
      <c r="A5" s="32" t="s">
        <v>46</v>
      </c>
      <c r="B5" s="33">
        <v>300000</v>
      </c>
      <c r="C5" s="33"/>
      <c r="D5" s="32" t="s">
        <v>47</v>
      </c>
      <c r="E5" s="32"/>
      <c r="F5" s="32" t="s">
        <v>48</v>
      </c>
      <c r="G5" s="32" t="s">
        <v>49</v>
      </c>
      <c r="H5" s="32">
        <v>4.7</v>
      </c>
      <c r="I5" s="32" t="s">
        <v>50</v>
      </c>
      <c r="J5" s="32" t="s">
        <v>51</v>
      </c>
      <c r="K5" s="32">
        <v>49.99</v>
      </c>
      <c r="L5" s="34">
        <v>0.15</v>
      </c>
      <c r="M5" s="34">
        <v>0.05</v>
      </c>
      <c r="N5" s="34"/>
      <c r="O5" s="32">
        <v>11</v>
      </c>
      <c r="P5" s="34">
        <f>L5+M5+O5/K5</f>
        <v>0.42004400880176</v>
      </c>
      <c r="Q5" s="32">
        <v>2000</v>
      </c>
      <c r="R5" s="32">
        <v>100000</v>
      </c>
      <c r="S5" s="32"/>
      <c r="T5" s="32">
        <v>50</v>
      </c>
      <c r="U5" s="32">
        <v>15</v>
      </c>
      <c r="V5" s="32">
        <v>18</v>
      </c>
      <c r="W5" s="32">
        <v>12</v>
      </c>
      <c r="X5" s="32">
        <v>20</v>
      </c>
      <c r="Y5" s="32">
        <v>2000</v>
      </c>
      <c r="Z5" s="32">
        <f>Y5/(Q5/30)</f>
        <v>30</v>
      </c>
      <c r="AA5" s="32">
        <v>5000</v>
      </c>
      <c r="AB5" s="32">
        <v>6</v>
      </c>
      <c r="AC5" s="32" t="s">
        <v>52</v>
      </c>
      <c r="AD5" s="32" t="s">
        <v>53</v>
      </c>
      <c r="AE5" s="32">
        <v>20</v>
      </c>
      <c r="AF5" s="32">
        <v>2500</v>
      </c>
      <c r="AG5" s="32">
        <f>AF5*AI5</f>
        <v>124925</v>
      </c>
      <c r="AH5" s="32" t="s">
        <v>54</v>
      </c>
      <c r="AI5" s="32">
        <v>49.97</v>
      </c>
      <c r="AJ5" s="35">
        <v>32</v>
      </c>
      <c r="AK5" s="35">
        <v>32</v>
      </c>
      <c r="AL5" s="36">
        <f>AK5/AI5</f>
        <v>0.640384230538323</v>
      </c>
      <c r="AM5" s="32" t="s">
        <v>55</v>
      </c>
    </row>
    <row r="6" spans="1:39">
      <c r="A6" s="37"/>
      <c r="B6" s="38"/>
      <c r="C6" s="38"/>
      <c r="D6" s="37"/>
      <c r="E6" s="37"/>
      <c r="F6" s="37"/>
      <c r="G6" s="37"/>
      <c r="H6" s="37"/>
      <c r="I6" s="37"/>
      <c r="J6" s="37"/>
      <c r="K6" s="37"/>
      <c r="L6" s="39"/>
      <c r="M6" s="39"/>
      <c r="N6" s="39"/>
      <c r="O6" s="37"/>
      <c r="P6" s="40" t="e">
        <f t="shared" ref="P6:P24" si="0">L6+M6+O6/K6</f>
        <v>#DIV/0!</v>
      </c>
      <c r="Q6" s="37"/>
      <c r="R6" s="41">
        <f t="shared" ref="R6:R24" si="1">Q6*K6</f>
        <v>0</v>
      </c>
      <c r="S6" s="41"/>
      <c r="T6" s="37"/>
      <c r="U6" s="37"/>
      <c r="V6" s="37"/>
      <c r="W6" s="37"/>
      <c r="X6" s="37"/>
      <c r="Y6" s="37"/>
      <c r="Z6" s="41" t="e">
        <f t="shared" ref="Z6:Z24" si="2">Y6/(Q6/30)</f>
        <v>#DIV/0!</v>
      </c>
      <c r="AA6" s="37"/>
      <c r="AB6" s="37"/>
      <c r="AC6" s="37"/>
      <c r="AD6" s="37"/>
      <c r="AE6" s="37"/>
      <c r="AF6" s="37"/>
      <c r="AG6" s="37"/>
      <c r="AH6" s="37"/>
      <c r="AI6" s="37"/>
      <c r="AJ6" s="42"/>
      <c r="AK6" s="42"/>
      <c r="AL6" s="37"/>
      <c r="AM6" s="37"/>
    </row>
    <row r="7" spans="1:39">
      <c r="A7" s="37"/>
      <c r="B7" s="38"/>
      <c r="C7" s="38"/>
      <c r="D7" s="37"/>
      <c r="E7" s="37"/>
      <c r="F7" s="37"/>
      <c r="G7" s="37"/>
      <c r="H7" s="37"/>
      <c r="I7" s="37"/>
      <c r="J7" s="37"/>
      <c r="K7" s="37"/>
      <c r="L7" s="39"/>
      <c r="M7" s="39"/>
      <c r="N7" s="39"/>
      <c r="O7" s="37"/>
      <c r="P7" s="40" t="e">
        <f t="shared" si="0"/>
        <v>#DIV/0!</v>
      </c>
      <c r="Q7" s="37"/>
      <c r="R7" s="41">
        <f t="shared" si="1"/>
        <v>0</v>
      </c>
      <c r="S7" s="41"/>
      <c r="T7" s="37"/>
      <c r="U7" s="37"/>
      <c r="V7" s="37"/>
      <c r="W7" s="37"/>
      <c r="X7" s="37"/>
      <c r="Y7" s="37"/>
      <c r="Z7" s="41" t="e">
        <f t="shared" si="2"/>
        <v>#DIV/0!</v>
      </c>
      <c r="AA7" s="37"/>
      <c r="AB7" s="37"/>
      <c r="AC7" s="37"/>
      <c r="AD7" s="37"/>
      <c r="AE7" s="37"/>
      <c r="AF7" s="37"/>
      <c r="AG7" s="37"/>
      <c r="AH7" s="37"/>
      <c r="AI7" s="37"/>
      <c r="AJ7" s="42"/>
      <c r="AK7" s="42"/>
      <c r="AL7" s="37"/>
      <c r="AM7" s="37"/>
    </row>
    <row r="8" spans="1:39">
      <c r="A8" s="37"/>
      <c r="B8" s="38"/>
      <c r="C8" s="38"/>
      <c r="D8" s="37"/>
      <c r="E8" s="37"/>
      <c r="F8" s="37"/>
      <c r="G8" s="37"/>
      <c r="H8" s="37"/>
      <c r="I8" s="37"/>
      <c r="J8" s="37"/>
      <c r="K8" s="37"/>
      <c r="L8" s="39"/>
      <c r="M8" s="39"/>
      <c r="N8" s="39"/>
      <c r="O8" s="37"/>
      <c r="P8" s="40" t="e">
        <f t="shared" si="0"/>
        <v>#DIV/0!</v>
      </c>
      <c r="Q8" s="37"/>
      <c r="R8" s="41">
        <f t="shared" si="1"/>
        <v>0</v>
      </c>
      <c r="S8" s="41"/>
      <c r="T8" s="37"/>
      <c r="U8" s="37"/>
      <c r="V8" s="37"/>
      <c r="W8" s="37"/>
      <c r="X8" s="37"/>
      <c r="Y8" s="37"/>
      <c r="Z8" s="41" t="e">
        <f t="shared" si="2"/>
        <v>#DIV/0!</v>
      </c>
      <c r="AA8" s="37"/>
      <c r="AB8" s="37"/>
      <c r="AC8" s="37"/>
      <c r="AD8" s="37"/>
      <c r="AE8" s="37"/>
      <c r="AF8" s="37"/>
      <c r="AG8" s="37"/>
      <c r="AH8" s="37"/>
      <c r="AI8" s="37"/>
      <c r="AJ8" s="42"/>
      <c r="AK8" s="42"/>
      <c r="AL8" s="37"/>
      <c r="AM8" s="37"/>
    </row>
    <row r="9" spans="1:39">
      <c r="A9" s="37"/>
      <c r="B9" s="38"/>
      <c r="C9" s="38"/>
      <c r="D9" s="37"/>
      <c r="E9" s="37"/>
      <c r="F9" s="37"/>
      <c r="G9" s="37"/>
      <c r="H9" s="37"/>
      <c r="I9" s="37"/>
      <c r="J9" s="37"/>
      <c r="K9" s="37"/>
      <c r="L9" s="39"/>
      <c r="M9" s="39"/>
      <c r="N9" s="39"/>
      <c r="O9" s="37"/>
      <c r="P9" s="40" t="e">
        <f t="shared" si="0"/>
        <v>#DIV/0!</v>
      </c>
      <c r="Q9" s="37"/>
      <c r="R9" s="41">
        <f t="shared" si="1"/>
        <v>0</v>
      </c>
      <c r="S9" s="41"/>
      <c r="T9" s="37"/>
      <c r="U9" s="37"/>
      <c r="V9" s="37"/>
      <c r="W9" s="37"/>
      <c r="X9" s="37"/>
      <c r="Y9" s="37"/>
      <c r="Z9" s="41" t="e">
        <f t="shared" si="2"/>
        <v>#DIV/0!</v>
      </c>
      <c r="AA9" s="37"/>
      <c r="AB9" s="37"/>
      <c r="AC9" s="37"/>
      <c r="AD9" s="37"/>
      <c r="AE9" s="37"/>
      <c r="AF9" s="37"/>
      <c r="AG9" s="37"/>
      <c r="AH9" s="37"/>
      <c r="AI9" s="37"/>
      <c r="AJ9" s="42"/>
      <c r="AK9" s="42"/>
      <c r="AL9" s="37"/>
      <c r="AM9" s="37"/>
    </row>
    <row r="10" spans="1:39">
      <c r="A10" s="37"/>
      <c r="B10" s="38"/>
      <c r="C10" s="38"/>
      <c r="D10" s="37"/>
      <c r="E10" s="37"/>
      <c r="F10" s="37"/>
      <c r="G10" s="37"/>
      <c r="H10" s="37"/>
      <c r="I10" s="37"/>
      <c r="J10" s="37"/>
      <c r="K10" s="37"/>
      <c r="L10" s="39"/>
      <c r="M10" s="39"/>
      <c r="N10" s="39"/>
      <c r="O10" s="37"/>
      <c r="P10" s="40" t="e">
        <f t="shared" si="0"/>
        <v>#DIV/0!</v>
      </c>
      <c r="Q10" s="37"/>
      <c r="R10" s="41">
        <f t="shared" si="1"/>
        <v>0</v>
      </c>
      <c r="S10" s="41"/>
      <c r="T10" s="37"/>
      <c r="U10" s="37"/>
      <c r="V10" s="37"/>
      <c r="W10" s="37"/>
      <c r="X10" s="37"/>
      <c r="Y10" s="37"/>
      <c r="Z10" s="41" t="e">
        <f t="shared" si="2"/>
        <v>#DIV/0!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42"/>
      <c r="AK10" s="42"/>
      <c r="AL10" s="37"/>
      <c r="AM10" s="37"/>
    </row>
    <row r="11" spans="1:39">
      <c r="A11" s="37"/>
      <c r="B11" s="38"/>
      <c r="C11" s="38"/>
      <c r="D11" s="37"/>
      <c r="E11" s="37"/>
      <c r="F11" s="37"/>
      <c r="G11" s="37"/>
      <c r="H11" s="37"/>
      <c r="I11" s="37"/>
      <c r="J11" s="37"/>
      <c r="K11" s="37"/>
      <c r="L11" s="39"/>
      <c r="M11" s="39"/>
      <c r="N11" s="39"/>
      <c r="O11" s="37"/>
      <c r="P11" s="40" t="e">
        <f t="shared" si="0"/>
        <v>#DIV/0!</v>
      </c>
      <c r="Q11" s="37"/>
      <c r="R11" s="41">
        <f t="shared" si="1"/>
        <v>0</v>
      </c>
      <c r="S11" s="41"/>
      <c r="T11" s="37"/>
      <c r="U11" s="37"/>
      <c r="V11" s="37"/>
      <c r="W11" s="37"/>
      <c r="X11" s="37"/>
      <c r="Y11" s="37"/>
      <c r="Z11" s="41" t="e">
        <f t="shared" si="2"/>
        <v>#DIV/0!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42"/>
      <c r="AK11" s="42"/>
      <c r="AL11" s="37"/>
      <c r="AM11" s="37"/>
    </row>
    <row r="12" spans="1:39">
      <c r="A12" s="37"/>
      <c r="B12" s="38"/>
      <c r="C12" s="38"/>
      <c r="D12" s="37"/>
      <c r="E12" s="37"/>
      <c r="F12" s="37"/>
      <c r="G12" s="37"/>
      <c r="H12" s="37"/>
      <c r="I12" s="37"/>
      <c r="J12" s="37"/>
      <c r="K12" s="37"/>
      <c r="L12" s="39"/>
      <c r="M12" s="39"/>
      <c r="N12" s="39"/>
      <c r="O12" s="37"/>
      <c r="P12" s="40" t="e">
        <f t="shared" si="0"/>
        <v>#DIV/0!</v>
      </c>
      <c r="Q12" s="37"/>
      <c r="R12" s="41">
        <f t="shared" si="1"/>
        <v>0</v>
      </c>
      <c r="S12" s="41"/>
      <c r="T12" s="37"/>
      <c r="U12" s="37"/>
      <c r="V12" s="37"/>
      <c r="W12" s="37"/>
      <c r="X12" s="37"/>
      <c r="Y12" s="37"/>
      <c r="Z12" s="41" t="e">
        <f t="shared" si="2"/>
        <v>#DIV/0!</v>
      </c>
      <c r="AA12" s="37"/>
      <c r="AB12" s="37"/>
      <c r="AC12" s="37"/>
      <c r="AD12" s="37"/>
      <c r="AE12" s="37"/>
      <c r="AF12" s="37"/>
      <c r="AG12" s="37"/>
      <c r="AH12" s="37"/>
      <c r="AI12" s="37"/>
      <c r="AJ12" s="42"/>
      <c r="AK12" s="42"/>
      <c r="AL12" s="37"/>
      <c r="AM12" s="37"/>
    </row>
    <row r="13" spans="1:39">
      <c r="A13" s="37"/>
      <c r="B13" s="38"/>
      <c r="C13" s="38"/>
      <c r="D13" s="37"/>
      <c r="E13" s="37"/>
      <c r="F13" s="37"/>
      <c r="G13" s="37"/>
      <c r="H13" s="37"/>
      <c r="I13" s="37"/>
      <c r="J13" s="37"/>
      <c r="K13" s="37"/>
      <c r="L13" s="39"/>
      <c r="M13" s="39"/>
      <c r="N13" s="39"/>
      <c r="O13" s="37"/>
      <c r="P13" s="40" t="e">
        <f t="shared" si="0"/>
        <v>#DIV/0!</v>
      </c>
      <c r="Q13" s="37"/>
      <c r="R13" s="41">
        <f t="shared" si="1"/>
        <v>0</v>
      </c>
      <c r="S13" s="41"/>
      <c r="T13" s="37"/>
      <c r="U13" s="37"/>
      <c r="V13" s="37"/>
      <c r="W13" s="37"/>
      <c r="X13" s="37"/>
      <c r="Y13" s="37"/>
      <c r="Z13" s="41" t="e">
        <f t="shared" si="2"/>
        <v>#DIV/0!</v>
      </c>
      <c r="AA13" s="37"/>
      <c r="AB13" s="37"/>
      <c r="AC13" s="37"/>
      <c r="AD13" s="37"/>
      <c r="AE13" s="37"/>
      <c r="AF13" s="37"/>
      <c r="AG13" s="37"/>
      <c r="AH13" s="37"/>
      <c r="AI13" s="37"/>
      <c r="AJ13" s="42"/>
      <c r="AK13" s="42"/>
      <c r="AL13" s="37"/>
      <c r="AM13" s="37"/>
    </row>
    <row r="14" spans="1:39">
      <c r="A14" s="37"/>
      <c r="B14" s="38"/>
      <c r="C14" s="38"/>
      <c r="D14" s="37"/>
      <c r="E14" s="37"/>
      <c r="F14" s="37"/>
      <c r="G14" s="37"/>
      <c r="H14" s="37"/>
      <c r="I14" s="37"/>
      <c r="J14" s="37"/>
      <c r="K14" s="37"/>
      <c r="L14" s="39"/>
      <c r="M14" s="39"/>
      <c r="N14" s="39"/>
      <c r="O14" s="37"/>
      <c r="P14" s="40" t="e">
        <f t="shared" si="0"/>
        <v>#DIV/0!</v>
      </c>
      <c r="Q14" s="37"/>
      <c r="R14" s="41">
        <f t="shared" si="1"/>
        <v>0</v>
      </c>
      <c r="S14" s="41"/>
      <c r="T14" s="37"/>
      <c r="U14" s="37"/>
      <c r="V14" s="37"/>
      <c r="W14" s="37"/>
      <c r="X14" s="37"/>
      <c r="Y14" s="37"/>
      <c r="Z14" s="41" t="e">
        <f t="shared" si="2"/>
        <v>#DIV/0!</v>
      </c>
      <c r="AA14" s="37"/>
      <c r="AB14" s="37"/>
      <c r="AC14" s="37"/>
      <c r="AD14" s="37"/>
      <c r="AE14" s="37"/>
      <c r="AF14" s="37"/>
      <c r="AG14" s="37"/>
      <c r="AH14" s="37"/>
      <c r="AI14" s="37"/>
      <c r="AJ14" s="42"/>
      <c r="AK14" s="42"/>
      <c r="AL14" s="37"/>
      <c r="AM14" s="37"/>
    </row>
    <row r="15" spans="1:39">
      <c r="A15" s="37"/>
      <c r="B15" s="38"/>
      <c r="C15" s="38"/>
      <c r="D15" s="37"/>
      <c r="E15" s="37"/>
      <c r="F15" s="37"/>
      <c r="G15" s="37"/>
      <c r="H15" s="37"/>
      <c r="I15" s="37"/>
      <c r="J15" s="37"/>
      <c r="K15" s="37"/>
      <c r="L15" s="39"/>
      <c r="M15" s="39"/>
      <c r="N15" s="39"/>
      <c r="O15" s="37"/>
      <c r="P15" s="40" t="e">
        <f t="shared" si="0"/>
        <v>#DIV/0!</v>
      </c>
      <c r="Q15" s="37"/>
      <c r="R15" s="41">
        <f t="shared" si="1"/>
        <v>0</v>
      </c>
      <c r="S15" s="41"/>
      <c r="T15" s="37"/>
      <c r="U15" s="37"/>
      <c r="V15" s="37"/>
      <c r="W15" s="37"/>
      <c r="X15" s="37"/>
      <c r="Y15" s="37"/>
      <c r="Z15" s="41" t="e">
        <f t="shared" si="2"/>
        <v>#DIV/0!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42"/>
      <c r="AK15" s="42"/>
      <c r="AL15" s="37"/>
      <c r="AM15" s="37"/>
    </row>
    <row r="16" spans="1:39">
      <c r="A16" s="37"/>
      <c r="B16" s="38"/>
      <c r="C16" s="38"/>
      <c r="D16" s="37"/>
      <c r="E16" s="37"/>
      <c r="F16" s="37"/>
      <c r="G16" s="37"/>
      <c r="H16" s="37"/>
      <c r="I16" s="37"/>
      <c r="J16" s="37"/>
      <c r="K16" s="37"/>
      <c r="L16" s="39"/>
      <c r="M16" s="39"/>
      <c r="N16" s="39"/>
      <c r="O16" s="37"/>
      <c r="P16" s="40" t="e">
        <f t="shared" si="0"/>
        <v>#DIV/0!</v>
      </c>
      <c r="Q16" s="37"/>
      <c r="R16" s="41">
        <f t="shared" si="1"/>
        <v>0</v>
      </c>
      <c r="S16" s="41"/>
      <c r="T16" s="37"/>
      <c r="U16" s="37"/>
      <c r="V16" s="37"/>
      <c r="W16" s="37"/>
      <c r="X16" s="37"/>
      <c r="Y16" s="37"/>
      <c r="Z16" s="41" t="e">
        <f t="shared" si="2"/>
        <v>#DIV/0!</v>
      </c>
      <c r="AA16" s="37"/>
      <c r="AB16" s="37"/>
      <c r="AC16" s="37"/>
      <c r="AD16" s="37"/>
      <c r="AE16" s="37"/>
      <c r="AF16" s="37"/>
      <c r="AG16" s="37"/>
      <c r="AH16" s="37"/>
      <c r="AI16" s="37"/>
      <c r="AJ16" s="42"/>
      <c r="AK16" s="42"/>
      <c r="AL16" s="37"/>
      <c r="AM16" s="37"/>
    </row>
    <row r="17" spans="1:39">
      <c r="A17" s="37"/>
      <c r="B17" s="38"/>
      <c r="C17" s="38"/>
      <c r="D17" s="37"/>
      <c r="E17" s="37"/>
      <c r="F17" s="37"/>
      <c r="G17" s="37"/>
      <c r="H17" s="37"/>
      <c r="I17" s="37"/>
      <c r="J17" s="37"/>
      <c r="K17" s="37"/>
      <c r="L17" s="39"/>
      <c r="M17" s="39"/>
      <c r="N17" s="39"/>
      <c r="O17" s="37"/>
      <c r="P17" s="40" t="e">
        <f t="shared" si="0"/>
        <v>#DIV/0!</v>
      </c>
      <c r="Q17" s="37"/>
      <c r="R17" s="41">
        <f t="shared" si="1"/>
        <v>0</v>
      </c>
      <c r="S17" s="41"/>
      <c r="T17" s="37"/>
      <c r="U17" s="37"/>
      <c r="V17" s="37"/>
      <c r="W17" s="37"/>
      <c r="X17" s="37"/>
      <c r="Y17" s="37"/>
      <c r="Z17" s="41" t="e">
        <f t="shared" si="2"/>
        <v>#DIV/0!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42"/>
      <c r="AK17" s="42"/>
      <c r="AL17" s="37"/>
      <c r="AM17" s="37"/>
    </row>
    <row r="18" spans="1:39">
      <c r="A18" s="37"/>
      <c r="B18" s="38"/>
      <c r="C18" s="38"/>
      <c r="D18" s="37"/>
      <c r="E18" s="37"/>
      <c r="F18" s="37"/>
      <c r="G18" s="37"/>
      <c r="H18" s="37"/>
      <c r="I18" s="37"/>
      <c r="J18" s="37"/>
      <c r="K18" s="37"/>
      <c r="L18" s="39"/>
      <c r="M18" s="39"/>
      <c r="N18" s="39"/>
      <c r="O18" s="37"/>
      <c r="P18" s="40" t="e">
        <f t="shared" si="0"/>
        <v>#DIV/0!</v>
      </c>
      <c r="Q18" s="37"/>
      <c r="R18" s="41">
        <f t="shared" si="1"/>
        <v>0</v>
      </c>
      <c r="S18" s="41"/>
      <c r="T18" s="37"/>
      <c r="U18" s="37"/>
      <c r="V18" s="37"/>
      <c r="W18" s="37"/>
      <c r="X18" s="37"/>
      <c r="Y18" s="37"/>
      <c r="Z18" s="41" t="e">
        <f t="shared" si="2"/>
        <v>#DIV/0!</v>
      </c>
      <c r="AA18" s="37"/>
      <c r="AB18" s="37"/>
      <c r="AC18" s="37"/>
      <c r="AD18" s="37"/>
      <c r="AE18" s="37"/>
      <c r="AF18" s="37"/>
      <c r="AG18" s="37"/>
      <c r="AH18" s="37"/>
      <c r="AI18" s="37"/>
      <c r="AJ18" s="42"/>
      <c r="AK18" s="42"/>
      <c r="AL18" s="37"/>
      <c r="AM18" s="37"/>
    </row>
    <row r="19" spans="1:39">
      <c r="A19" s="37"/>
      <c r="B19" s="38"/>
      <c r="C19" s="38"/>
      <c r="D19" s="37"/>
      <c r="E19" s="37"/>
      <c r="F19" s="37"/>
      <c r="G19" s="37"/>
      <c r="H19" s="37"/>
      <c r="I19" s="37"/>
      <c r="J19" s="37"/>
      <c r="K19" s="37"/>
      <c r="L19" s="39"/>
      <c r="M19" s="39"/>
      <c r="N19" s="39"/>
      <c r="O19" s="37"/>
      <c r="P19" s="40" t="e">
        <f t="shared" si="0"/>
        <v>#DIV/0!</v>
      </c>
      <c r="Q19" s="37"/>
      <c r="R19" s="41">
        <f t="shared" si="1"/>
        <v>0</v>
      </c>
      <c r="S19" s="41"/>
      <c r="T19" s="37"/>
      <c r="U19" s="37"/>
      <c r="V19" s="37"/>
      <c r="W19" s="37"/>
      <c r="X19" s="37"/>
      <c r="Y19" s="37"/>
      <c r="Z19" s="41" t="e">
        <f t="shared" si="2"/>
        <v>#DIV/0!</v>
      </c>
      <c r="AA19" s="37"/>
      <c r="AB19" s="37"/>
      <c r="AC19" s="37"/>
      <c r="AD19" s="37"/>
      <c r="AE19" s="37"/>
      <c r="AF19" s="37"/>
      <c r="AG19" s="37"/>
      <c r="AH19" s="37"/>
      <c r="AI19" s="37"/>
      <c r="AJ19" s="42"/>
      <c r="AK19" s="42"/>
      <c r="AL19" s="37"/>
      <c r="AM19" s="37"/>
    </row>
    <row r="20" spans="1:39">
      <c r="A20" s="37"/>
      <c r="B20" s="38"/>
      <c r="C20" s="38"/>
      <c r="D20" s="37"/>
      <c r="E20" s="37"/>
      <c r="F20" s="37"/>
      <c r="G20" s="37"/>
      <c r="H20" s="37"/>
      <c r="I20" s="37"/>
      <c r="J20" s="37"/>
      <c r="K20" s="37"/>
      <c r="L20" s="39"/>
      <c r="M20" s="39"/>
      <c r="N20" s="39"/>
      <c r="O20" s="37"/>
      <c r="P20" s="40" t="e">
        <f t="shared" si="0"/>
        <v>#DIV/0!</v>
      </c>
      <c r="Q20" s="37"/>
      <c r="R20" s="41">
        <f t="shared" si="1"/>
        <v>0</v>
      </c>
      <c r="S20" s="41"/>
      <c r="T20" s="37"/>
      <c r="U20" s="37"/>
      <c r="V20" s="37"/>
      <c r="W20" s="37"/>
      <c r="X20" s="37"/>
      <c r="Y20" s="37"/>
      <c r="Z20" s="41" t="e">
        <f t="shared" si="2"/>
        <v>#DIV/0!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42"/>
      <c r="AK20" s="42"/>
      <c r="AL20" s="37"/>
      <c r="AM20" s="37"/>
    </row>
    <row r="21" spans="1:39">
      <c r="A21" s="37"/>
      <c r="B21" s="38"/>
      <c r="C21" s="38"/>
      <c r="D21" s="37"/>
      <c r="E21" s="37"/>
      <c r="F21" s="37"/>
      <c r="G21" s="37"/>
      <c r="H21" s="37"/>
      <c r="I21" s="37"/>
      <c r="J21" s="37"/>
      <c r="K21" s="37"/>
      <c r="L21" s="39"/>
      <c r="M21" s="39"/>
      <c r="N21" s="39"/>
      <c r="O21" s="37"/>
      <c r="P21" s="40" t="e">
        <f t="shared" si="0"/>
        <v>#DIV/0!</v>
      </c>
      <c r="Q21" s="37"/>
      <c r="R21" s="41">
        <f t="shared" si="1"/>
        <v>0</v>
      </c>
      <c r="S21" s="41"/>
      <c r="T21" s="37"/>
      <c r="U21" s="37"/>
      <c r="V21" s="37"/>
      <c r="W21" s="37"/>
      <c r="X21" s="37"/>
      <c r="Y21" s="37"/>
      <c r="Z21" s="41" t="e">
        <f t="shared" si="2"/>
        <v>#DIV/0!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42"/>
      <c r="AK21" s="42"/>
      <c r="AL21" s="37"/>
      <c r="AM21" s="37"/>
    </row>
    <row r="22" spans="1:39">
      <c r="A22" s="37"/>
      <c r="B22" s="38"/>
      <c r="C22" s="38"/>
      <c r="D22" s="37"/>
      <c r="E22" s="37"/>
      <c r="F22" s="37"/>
      <c r="G22" s="37"/>
      <c r="H22" s="37"/>
      <c r="I22" s="37"/>
      <c r="J22" s="37"/>
      <c r="K22" s="37"/>
      <c r="L22" s="39"/>
      <c r="M22" s="39"/>
      <c r="N22" s="39"/>
      <c r="O22" s="37"/>
      <c r="P22" s="40" t="e">
        <f t="shared" si="0"/>
        <v>#DIV/0!</v>
      </c>
      <c r="Q22" s="37"/>
      <c r="R22" s="41">
        <f t="shared" si="1"/>
        <v>0</v>
      </c>
      <c r="S22" s="41"/>
      <c r="T22" s="37"/>
      <c r="U22" s="37"/>
      <c r="V22" s="37"/>
      <c r="W22" s="37"/>
      <c r="X22" s="37"/>
      <c r="Y22" s="37"/>
      <c r="Z22" s="41" t="e">
        <f t="shared" si="2"/>
        <v>#DIV/0!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42"/>
      <c r="AK22" s="42"/>
      <c r="AL22" s="37"/>
      <c r="AM22" s="37"/>
    </row>
    <row r="23" spans="1:39">
      <c r="A23" s="37"/>
      <c r="B23" s="38"/>
      <c r="C23" s="38"/>
      <c r="D23" s="37"/>
      <c r="E23" s="37"/>
      <c r="F23" s="37"/>
      <c r="G23" s="37"/>
      <c r="H23" s="37"/>
      <c r="I23" s="37"/>
      <c r="J23" s="37"/>
      <c r="K23" s="37"/>
      <c r="L23" s="39"/>
      <c r="M23" s="39"/>
      <c r="N23" s="39"/>
      <c r="O23" s="37"/>
      <c r="P23" s="40" t="e">
        <f t="shared" si="0"/>
        <v>#DIV/0!</v>
      </c>
      <c r="Q23" s="37"/>
      <c r="R23" s="41">
        <f t="shared" si="1"/>
        <v>0</v>
      </c>
      <c r="S23" s="41"/>
      <c r="T23" s="37"/>
      <c r="U23" s="37"/>
      <c r="V23" s="37"/>
      <c r="W23" s="37"/>
      <c r="X23" s="37"/>
      <c r="Y23" s="37"/>
      <c r="Z23" s="41" t="e">
        <f t="shared" si="2"/>
        <v>#DIV/0!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42"/>
      <c r="AK23" s="42"/>
      <c r="AL23" s="37"/>
      <c r="AM23" s="37"/>
    </row>
    <row r="24" spans="1:39">
      <c r="A24" s="37"/>
      <c r="B24" s="38"/>
      <c r="C24" s="38"/>
      <c r="D24" s="37"/>
      <c r="E24" s="37"/>
      <c r="F24" s="37"/>
      <c r="G24" s="37"/>
      <c r="H24" s="37"/>
      <c r="I24" s="37"/>
      <c r="J24" s="37"/>
      <c r="K24" s="37"/>
      <c r="L24" s="39"/>
      <c r="M24" s="39"/>
      <c r="N24" s="39"/>
      <c r="O24" s="37"/>
      <c r="P24" s="40" t="e">
        <f t="shared" si="0"/>
        <v>#DIV/0!</v>
      </c>
      <c r="Q24" s="37"/>
      <c r="R24" s="41">
        <f t="shared" si="1"/>
        <v>0</v>
      </c>
      <c r="S24" s="41"/>
      <c r="T24" s="37"/>
      <c r="U24" s="37"/>
      <c r="V24" s="37"/>
      <c r="W24" s="37"/>
      <c r="X24" s="37"/>
      <c r="Y24" s="37"/>
      <c r="Z24" s="41" t="e">
        <f t="shared" si="2"/>
        <v>#DIV/0!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42"/>
      <c r="AK24" s="42"/>
      <c r="AL24" s="37"/>
      <c r="AM24" s="37"/>
    </row>
  </sheetData>
  <mergeCells count="6">
    <mergeCell ref="A3:E3"/>
    <mergeCell ref="F3:J3"/>
    <mergeCell ref="K3:S3"/>
    <mergeCell ref="T3:X3"/>
    <mergeCell ref="Y3:AE3"/>
    <mergeCell ref="AF3:AM3"/>
  </mergeCells>
  <dataValidations count="5">
    <dataValidation type="list" allowBlank="1" showInputMessage="1" showErrorMessage="1" sqref="D5:D1048576">
      <formula1>"否,是"</formula1>
    </dataValidation>
    <dataValidation type="list" allowBlank="1" showInputMessage="1" showErrorMessage="1" sqref="J5:J1048576">
      <formula1>"有,无"</formula1>
    </dataValidation>
    <dataValidation type="list" allowBlank="1" showInputMessage="1" showErrorMessage="1" sqref="AD5:AD1048576">
      <formula1>"是,否"</formula1>
    </dataValidation>
    <dataValidation type="list" allowBlank="1" showInputMessage="1" showErrorMessage="1" sqref="AH5:AH1048576">
      <formula1>"仅PO,仅DF,PO+DF，PO为主,PO+DF，DF为主"</formula1>
    </dataValidation>
    <dataValidation allowBlank="1" showInputMessage="1" showErrorMessage="1" sqref="E5:F1048576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云舟VC核价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甘坤凡</cp:lastModifiedBy>
  <dcterms:created xsi:type="dcterms:W3CDTF">2025-10-09T01:38:00Z</dcterms:created>
  <dcterms:modified xsi:type="dcterms:W3CDTF">2026-06-04T01:38:32Z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5AFC96569C7444079E208C04844E0B1E_13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